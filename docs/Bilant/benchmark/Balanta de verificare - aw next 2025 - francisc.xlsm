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rancisc.FARKAS\Desktop\Aw Next\"/>
    </mc:Choice>
  </mc:AlternateContent>
  <xr:revisionPtr revIDLastSave="0" documentId="13_ncr:1_{7B053443-63AE-4347-BC0D-0A48305AA155}" xr6:coauthVersionLast="47" xr6:coauthVersionMax="47" xr10:uidLastSave="{00000000-0000-0000-0000-000000000000}"/>
  <bookViews>
    <workbookView xWindow="390" yWindow="390" windowWidth="24555" windowHeight="9720" xr2:uid="{0A475D57-313F-4E38-89A3-D4A93468854D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_FilterDatabase" localSheetId="0" hidden="1">Sheet1!$B$4:$AE$266</definedName>
    <definedName name="excel" localSheetId="0">Sheet1!$B$265:$X$265</definedName>
    <definedName name="excel_2" localSheetId="0">Sheet1!$A$5:$X$265</definedName>
    <definedName name="_xlnm.Print_Titles" localSheetId="0">Sheet1!$2:$4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6" i="1" l="1"/>
  <c r="AD6" i="1"/>
  <c r="AC7" i="1"/>
  <c r="AD7" i="1"/>
  <c r="AC8" i="1"/>
  <c r="AD8" i="1"/>
  <c r="AC9" i="1"/>
  <c r="AD9" i="1"/>
  <c r="AC10" i="1"/>
  <c r="AD10" i="1"/>
  <c r="AC11" i="1"/>
  <c r="AD11" i="1"/>
  <c r="AC12" i="1"/>
  <c r="AD12" i="1"/>
  <c r="AC13" i="1"/>
  <c r="AD13" i="1"/>
  <c r="AC14" i="1"/>
  <c r="AD14" i="1"/>
  <c r="AC15" i="1"/>
  <c r="AD15" i="1"/>
  <c r="AC16" i="1"/>
  <c r="AD16" i="1"/>
  <c r="AC17" i="1"/>
  <c r="AD17" i="1"/>
  <c r="AC18" i="1"/>
  <c r="AD18" i="1"/>
  <c r="AC19" i="1"/>
  <c r="AD19" i="1"/>
  <c r="AC20" i="1"/>
  <c r="AD20" i="1"/>
  <c r="AC21" i="1"/>
  <c r="AD21" i="1"/>
  <c r="AC22" i="1"/>
  <c r="AD22" i="1"/>
  <c r="AC23" i="1"/>
  <c r="AD23" i="1"/>
  <c r="AC24" i="1"/>
  <c r="AD24" i="1"/>
  <c r="AC25" i="1"/>
  <c r="AD25" i="1"/>
  <c r="AC26" i="1"/>
  <c r="AD26" i="1"/>
  <c r="AC27" i="1"/>
  <c r="AD27" i="1"/>
  <c r="AC28" i="1"/>
  <c r="AD28" i="1"/>
  <c r="AC29" i="1"/>
  <c r="AD29" i="1"/>
  <c r="AC30" i="1"/>
  <c r="AD30" i="1"/>
  <c r="AC31" i="1"/>
  <c r="AD31" i="1"/>
  <c r="AC32" i="1"/>
  <c r="AD32" i="1"/>
  <c r="AC33" i="1"/>
  <c r="AD33" i="1"/>
  <c r="AC34" i="1"/>
  <c r="AD34" i="1"/>
  <c r="AC35" i="1"/>
  <c r="AD35" i="1"/>
  <c r="AC36" i="1"/>
  <c r="AD36" i="1"/>
  <c r="AC37" i="1"/>
  <c r="AD37" i="1"/>
  <c r="AC38" i="1"/>
  <c r="AD38" i="1"/>
  <c r="AC39" i="1"/>
  <c r="AD39" i="1"/>
  <c r="AC40" i="1"/>
  <c r="AD40" i="1"/>
  <c r="AC41" i="1"/>
  <c r="AD41" i="1"/>
  <c r="AC42" i="1"/>
  <c r="AD42" i="1"/>
  <c r="AC43" i="1"/>
  <c r="AD43" i="1"/>
  <c r="AC44" i="1"/>
  <c r="AD44" i="1"/>
  <c r="AC45" i="1"/>
  <c r="AD45" i="1"/>
  <c r="AC46" i="1"/>
  <c r="AD46" i="1"/>
  <c r="AC47" i="1"/>
  <c r="AD47" i="1"/>
  <c r="AC48" i="1"/>
  <c r="AD48" i="1"/>
  <c r="AC49" i="1"/>
  <c r="AD49" i="1"/>
  <c r="AC50" i="1"/>
  <c r="AD50" i="1"/>
  <c r="AC51" i="1"/>
  <c r="AD51" i="1"/>
  <c r="AC52" i="1"/>
  <c r="AD52" i="1"/>
  <c r="AC53" i="1"/>
  <c r="AD53" i="1"/>
  <c r="AC54" i="1"/>
  <c r="AD54" i="1"/>
  <c r="AC55" i="1"/>
  <c r="AD55" i="1"/>
  <c r="AC56" i="1"/>
  <c r="AD56" i="1"/>
  <c r="AC57" i="1"/>
  <c r="AD57" i="1"/>
  <c r="AC58" i="1"/>
  <c r="AD58" i="1"/>
  <c r="AC59" i="1"/>
  <c r="AD59" i="1"/>
  <c r="AC60" i="1"/>
  <c r="AD60" i="1"/>
  <c r="AC61" i="1"/>
  <c r="AD61" i="1"/>
  <c r="AC62" i="1"/>
  <c r="AD62" i="1"/>
  <c r="AC63" i="1"/>
  <c r="AD63" i="1"/>
  <c r="AC64" i="1"/>
  <c r="AD64" i="1"/>
  <c r="AC65" i="1"/>
  <c r="AD65" i="1"/>
  <c r="AC66" i="1"/>
  <c r="AD66" i="1"/>
  <c r="AC67" i="1"/>
  <c r="AD67" i="1"/>
  <c r="AC68" i="1"/>
  <c r="AD68" i="1"/>
  <c r="AC69" i="1"/>
  <c r="AD69" i="1"/>
  <c r="AC70" i="1"/>
  <c r="AD70" i="1"/>
  <c r="AC71" i="1"/>
  <c r="AD71" i="1"/>
  <c r="AC72" i="1"/>
  <c r="AD72" i="1"/>
  <c r="AC73" i="1"/>
  <c r="AD73" i="1"/>
  <c r="AC74" i="1"/>
  <c r="AD74" i="1"/>
  <c r="AC75" i="1"/>
  <c r="AD75" i="1"/>
  <c r="AC76" i="1"/>
  <c r="AD76" i="1"/>
  <c r="AC77" i="1"/>
  <c r="AD77" i="1"/>
  <c r="AC78" i="1"/>
  <c r="AD78" i="1"/>
  <c r="AC79" i="1"/>
  <c r="AD79" i="1"/>
  <c r="AC80" i="1"/>
  <c r="AD80" i="1"/>
  <c r="AC81" i="1"/>
  <c r="AD81" i="1"/>
  <c r="AC82" i="1"/>
  <c r="AD82" i="1"/>
  <c r="AC83" i="1"/>
  <c r="AD83" i="1"/>
  <c r="AC84" i="1"/>
  <c r="AD84" i="1"/>
  <c r="AC85" i="1"/>
  <c r="AD85" i="1"/>
  <c r="AC86" i="1"/>
  <c r="AD86" i="1"/>
  <c r="AC87" i="1"/>
  <c r="AD87" i="1"/>
  <c r="AC88" i="1"/>
  <c r="AD88" i="1"/>
  <c r="AC89" i="1"/>
  <c r="AD89" i="1"/>
  <c r="AC90" i="1"/>
  <c r="AD90" i="1"/>
  <c r="AC91" i="1"/>
  <c r="AD91" i="1"/>
  <c r="AC92" i="1"/>
  <c r="AD92" i="1"/>
  <c r="AC93" i="1"/>
  <c r="AD93" i="1"/>
  <c r="AC94" i="1"/>
  <c r="AD94" i="1"/>
  <c r="AC95" i="1"/>
  <c r="AD95" i="1"/>
  <c r="AC96" i="1"/>
  <c r="AD96" i="1"/>
  <c r="AC97" i="1"/>
  <c r="AD97" i="1"/>
  <c r="AC98" i="1"/>
  <c r="AD98" i="1"/>
  <c r="AC99" i="1"/>
  <c r="AD99" i="1"/>
  <c r="AC100" i="1"/>
  <c r="AD100" i="1"/>
  <c r="AC101" i="1"/>
  <c r="AD101" i="1"/>
  <c r="AC102" i="1"/>
  <c r="AD102" i="1"/>
  <c r="AC103" i="1"/>
  <c r="AD103" i="1"/>
  <c r="AC104" i="1"/>
  <c r="AD104" i="1"/>
  <c r="AC105" i="1"/>
  <c r="AD105" i="1"/>
  <c r="AC106" i="1"/>
  <c r="AD106" i="1"/>
  <c r="AC107" i="1"/>
  <c r="AD107" i="1"/>
  <c r="AC108" i="1"/>
  <c r="AD108" i="1"/>
  <c r="AC109" i="1"/>
  <c r="AD109" i="1"/>
  <c r="AC110" i="1"/>
  <c r="AD110" i="1"/>
  <c r="AC111" i="1"/>
  <c r="AD111" i="1"/>
  <c r="AC112" i="1"/>
  <c r="AD112" i="1"/>
  <c r="AC113" i="1"/>
  <c r="AD113" i="1"/>
  <c r="AC114" i="1"/>
  <c r="AD114" i="1"/>
  <c r="AC115" i="1"/>
  <c r="AD115" i="1"/>
  <c r="AC116" i="1"/>
  <c r="AD116" i="1"/>
  <c r="AC117" i="1"/>
  <c r="AD117" i="1"/>
  <c r="AC118" i="1"/>
  <c r="AD118" i="1"/>
  <c r="AC119" i="1"/>
  <c r="AD119" i="1"/>
  <c r="AC120" i="1"/>
  <c r="AD120" i="1"/>
  <c r="AC121" i="1"/>
  <c r="AD121" i="1"/>
  <c r="AC122" i="1"/>
  <c r="AD122" i="1"/>
  <c r="AC123" i="1"/>
  <c r="AD123" i="1"/>
  <c r="AC124" i="1"/>
  <c r="AD124" i="1"/>
  <c r="AC125" i="1"/>
  <c r="AD125" i="1"/>
  <c r="AC126" i="1"/>
  <c r="AD126" i="1"/>
  <c r="AC127" i="1"/>
  <c r="AD127" i="1"/>
  <c r="AC128" i="1"/>
  <c r="AD128" i="1"/>
  <c r="AC129" i="1"/>
  <c r="AD129" i="1"/>
  <c r="AC130" i="1"/>
  <c r="AD130" i="1"/>
  <c r="AC131" i="1"/>
  <c r="AD131" i="1"/>
  <c r="AC132" i="1"/>
  <c r="AD132" i="1"/>
  <c r="AC133" i="1"/>
  <c r="AD133" i="1"/>
  <c r="AC134" i="1"/>
  <c r="AD134" i="1"/>
  <c r="AC135" i="1"/>
  <c r="AD135" i="1"/>
  <c r="AC136" i="1"/>
  <c r="AD136" i="1"/>
  <c r="AC137" i="1"/>
  <c r="AD137" i="1"/>
  <c r="AC138" i="1"/>
  <c r="AD138" i="1"/>
  <c r="AC139" i="1"/>
  <c r="AD139" i="1"/>
  <c r="AC140" i="1"/>
  <c r="AD140" i="1"/>
  <c r="AC141" i="1"/>
  <c r="AD141" i="1"/>
  <c r="AC142" i="1"/>
  <c r="AD142" i="1"/>
  <c r="AC143" i="1"/>
  <c r="AD143" i="1"/>
  <c r="AC144" i="1"/>
  <c r="AD144" i="1"/>
  <c r="AC145" i="1"/>
  <c r="AD145" i="1"/>
  <c r="AC146" i="1"/>
  <c r="AD146" i="1"/>
  <c r="AC147" i="1"/>
  <c r="AD147" i="1"/>
  <c r="AC148" i="1"/>
  <c r="AD148" i="1"/>
  <c r="AC149" i="1"/>
  <c r="AD149" i="1"/>
  <c r="AC150" i="1"/>
  <c r="AD150" i="1"/>
  <c r="AC151" i="1"/>
  <c r="AD151" i="1"/>
  <c r="AC152" i="1"/>
  <c r="AD152" i="1"/>
  <c r="AC153" i="1"/>
  <c r="AD153" i="1"/>
  <c r="AC154" i="1"/>
  <c r="AD154" i="1"/>
  <c r="AC155" i="1"/>
  <c r="AD155" i="1"/>
  <c r="AC156" i="1"/>
  <c r="AD156" i="1"/>
  <c r="AC157" i="1"/>
  <c r="AD157" i="1"/>
  <c r="AC158" i="1"/>
  <c r="AD158" i="1"/>
  <c r="AC159" i="1"/>
  <c r="AD159" i="1"/>
  <c r="AC160" i="1"/>
  <c r="AD160" i="1"/>
  <c r="AC161" i="1"/>
  <c r="AD161" i="1"/>
  <c r="AC162" i="1"/>
  <c r="AD162" i="1"/>
  <c r="AC163" i="1"/>
  <c r="AD163" i="1"/>
  <c r="AC164" i="1"/>
  <c r="AD164" i="1"/>
  <c r="AC165" i="1"/>
  <c r="AD165" i="1"/>
  <c r="AC166" i="1"/>
  <c r="AD166" i="1"/>
  <c r="AC167" i="1"/>
  <c r="AD167" i="1"/>
  <c r="AC168" i="1"/>
  <c r="AD168" i="1"/>
  <c r="AC169" i="1"/>
  <c r="AD169" i="1"/>
  <c r="AC170" i="1"/>
  <c r="AD170" i="1"/>
  <c r="AC171" i="1"/>
  <c r="AD171" i="1"/>
  <c r="AC172" i="1"/>
  <c r="AD172" i="1"/>
  <c r="AC173" i="1"/>
  <c r="AD173" i="1"/>
  <c r="AC174" i="1"/>
  <c r="AD174" i="1"/>
  <c r="AC175" i="1"/>
  <c r="AD175" i="1"/>
  <c r="AC176" i="1"/>
  <c r="AD176" i="1"/>
  <c r="AC177" i="1"/>
  <c r="AD177" i="1"/>
  <c r="AC178" i="1"/>
  <c r="AD178" i="1"/>
  <c r="AC179" i="1"/>
  <c r="AD179" i="1"/>
  <c r="AC180" i="1"/>
  <c r="AD180" i="1"/>
  <c r="AC181" i="1"/>
  <c r="AD181" i="1"/>
  <c r="AC182" i="1"/>
  <c r="AD182" i="1"/>
  <c r="AC183" i="1"/>
  <c r="AD183" i="1"/>
  <c r="AC184" i="1"/>
  <c r="AD184" i="1"/>
  <c r="AC185" i="1"/>
  <c r="AD185" i="1"/>
  <c r="AC186" i="1"/>
  <c r="AD186" i="1"/>
  <c r="AC187" i="1"/>
  <c r="AD187" i="1"/>
  <c r="AC188" i="1"/>
  <c r="AD188" i="1"/>
  <c r="AC189" i="1"/>
  <c r="AD189" i="1"/>
  <c r="AC190" i="1"/>
  <c r="AD190" i="1"/>
  <c r="AC191" i="1"/>
  <c r="AD191" i="1"/>
  <c r="AC192" i="1"/>
  <c r="AD192" i="1"/>
  <c r="AC193" i="1"/>
  <c r="AD193" i="1"/>
  <c r="AC194" i="1"/>
  <c r="AD194" i="1"/>
  <c r="AC195" i="1"/>
  <c r="AD195" i="1"/>
  <c r="AC196" i="1"/>
  <c r="AD196" i="1"/>
  <c r="AC197" i="1"/>
  <c r="AD197" i="1"/>
  <c r="AC198" i="1"/>
  <c r="AD198" i="1"/>
  <c r="AC199" i="1"/>
  <c r="AD199" i="1"/>
  <c r="AC200" i="1"/>
  <c r="AD200" i="1"/>
  <c r="AC201" i="1"/>
  <c r="AD201" i="1"/>
  <c r="AC202" i="1"/>
  <c r="AD202" i="1"/>
  <c r="AC203" i="1"/>
  <c r="AD203" i="1"/>
  <c r="AC204" i="1"/>
  <c r="AD204" i="1"/>
  <c r="AC205" i="1"/>
  <c r="AD205" i="1"/>
  <c r="AC206" i="1"/>
  <c r="AD206" i="1"/>
  <c r="AC207" i="1"/>
  <c r="AD207" i="1"/>
  <c r="AC208" i="1"/>
  <c r="AD208" i="1"/>
  <c r="AC209" i="1"/>
  <c r="AD209" i="1"/>
  <c r="AC210" i="1"/>
  <c r="AD210" i="1"/>
  <c r="AC211" i="1"/>
  <c r="AD211" i="1"/>
  <c r="AC212" i="1"/>
  <c r="AD212" i="1"/>
  <c r="AC213" i="1"/>
  <c r="AD213" i="1"/>
  <c r="AC214" i="1"/>
  <c r="AD214" i="1"/>
  <c r="AC215" i="1"/>
  <c r="AD215" i="1"/>
  <c r="AC216" i="1"/>
  <c r="AD216" i="1"/>
  <c r="AC217" i="1"/>
  <c r="AD217" i="1"/>
  <c r="AC218" i="1"/>
  <c r="AD218" i="1"/>
  <c r="AC219" i="1"/>
  <c r="AD219" i="1"/>
  <c r="AC220" i="1"/>
  <c r="AD220" i="1"/>
  <c r="AC221" i="1"/>
  <c r="AD221" i="1"/>
  <c r="AC222" i="1"/>
  <c r="AD222" i="1"/>
  <c r="AC223" i="1"/>
  <c r="AD223" i="1"/>
  <c r="AC224" i="1"/>
  <c r="AD224" i="1"/>
  <c r="AC225" i="1"/>
  <c r="AD225" i="1"/>
  <c r="AC226" i="1"/>
  <c r="AD226" i="1"/>
  <c r="AC227" i="1"/>
  <c r="AD227" i="1"/>
  <c r="AC228" i="1"/>
  <c r="AD228" i="1"/>
  <c r="AC229" i="1"/>
  <c r="AD229" i="1"/>
  <c r="AC230" i="1"/>
  <c r="AD230" i="1"/>
  <c r="AC231" i="1"/>
  <c r="AD231" i="1"/>
  <c r="AC232" i="1"/>
  <c r="AD232" i="1"/>
  <c r="AC233" i="1"/>
  <c r="AD233" i="1"/>
  <c r="AC234" i="1"/>
  <c r="AD234" i="1"/>
  <c r="AC235" i="1"/>
  <c r="AD235" i="1"/>
  <c r="AC236" i="1"/>
  <c r="AD236" i="1"/>
  <c r="AC237" i="1"/>
  <c r="AD237" i="1"/>
  <c r="AC238" i="1"/>
  <c r="AD238" i="1"/>
  <c r="AC239" i="1"/>
  <c r="AD239" i="1"/>
  <c r="AC240" i="1"/>
  <c r="AD240" i="1"/>
  <c r="AC241" i="1"/>
  <c r="AD241" i="1"/>
  <c r="AC242" i="1"/>
  <c r="AD242" i="1"/>
  <c r="AC243" i="1"/>
  <c r="AD243" i="1"/>
  <c r="AC244" i="1"/>
  <c r="AD244" i="1"/>
  <c r="AC245" i="1"/>
  <c r="AD245" i="1"/>
  <c r="AC246" i="1"/>
  <c r="AD246" i="1"/>
  <c r="AC247" i="1"/>
  <c r="AD247" i="1"/>
  <c r="AC248" i="1"/>
  <c r="AD248" i="1"/>
  <c r="AC249" i="1"/>
  <c r="AD249" i="1"/>
  <c r="AC250" i="1"/>
  <c r="AD250" i="1"/>
  <c r="AC251" i="1"/>
  <c r="AD251" i="1"/>
  <c r="AC252" i="1"/>
  <c r="AD252" i="1"/>
  <c r="AC253" i="1"/>
  <c r="AD253" i="1"/>
  <c r="AC254" i="1"/>
  <c r="AD254" i="1"/>
  <c r="AC255" i="1"/>
  <c r="AD255" i="1"/>
  <c r="AC256" i="1"/>
  <c r="AD256" i="1"/>
  <c r="AC257" i="1"/>
  <c r="AD257" i="1"/>
  <c r="AC258" i="1"/>
  <c r="AD258" i="1"/>
  <c r="AC259" i="1"/>
  <c r="AD259" i="1"/>
  <c r="AC260" i="1"/>
  <c r="AD260" i="1"/>
  <c r="AC261" i="1"/>
  <c r="AD261" i="1"/>
  <c r="AC262" i="1"/>
  <c r="AD262" i="1"/>
  <c r="AC263" i="1"/>
  <c r="AD263" i="1"/>
  <c r="AC264" i="1"/>
  <c r="AD264" i="1"/>
  <c r="AC265" i="1"/>
  <c r="AD265" i="1"/>
  <c r="AD5" i="1"/>
  <c r="AC5" i="1"/>
  <c r="AA9" i="1"/>
  <c r="AA5" i="1"/>
  <c r="AA6" i="1"/>
  <c r="AA7" i="1"/>
  <c r="AA8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B2" i="1"/>
  <c r="AD26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332021-2A9F-4F9B-9A08-8C11DA6EC1D2}" name="excel" type="6" refreshedVersion="8" background="1" saveData="1">
    <textPr prompt="0" sourceFile="C:\Users\FRANCI~1.FAR\AppData\Local\Temp\excel.txt" tab="0" semicolon="1" qualifier="none">
      <textFields>
        <textField/>
      </textFields>
    </textPr>
  </connection>
</connections>
</file>

<file path=xl/sharedStrings.xml><?xml version="1.0" encoding="utf-8"?>
<sst xmlns="http://schemas.openxmlformats.org/spreadsheetml/2006/main" count="1090" uniqueCount="302">
  <si>
    <t>sal_sa</t>
  </si>
  <si>
    <t>Nr. Cont</t>
  </si>
  <si>
    <t>Nume cont</t>
  </si>
  <si>
    <t>Rulaj precedent</t>
  </si>
  <si>
    <t>Sold initial</t>
  </si>
  <si>
    <t>Rulaj curent</t>
  </si>
  <si>
    <t>Total sume</t>
  </si>
  <si>
    <t>Sold final</t>
  </si>
  <si>
    <t>B A L A N T A   D E   V E R I F I C A R E</t>
  </si>
  <si>
    <t>E</t>
  </si>
  <si>
    <t>SA</t>
  </si>
  <si>
    <t>SID</t>
  </si>
  <si>
    <t>SIC</t>
  </si>
  <si>
    <t>RPD</t>
  </si>
  <si>
    <t>RPC</t>
  </si>
  <si>
    <t>RCD</t>
  </si>
  <si>
    <t>RCC</t>
  </si>
  <si>
    <t>TSD</t>
  </si>
  <si>
    <t>TSC</t>
  </si>
  <si>
    <t>SFD</t>
  </si>
  <si>
    <t>SFC</t>
  </si>
  <si>
    <t>SISD</t>
  </si>
  <si>
    <t>SISC</t>
  </si>
  <si>
    <t>SFSD</t>
  </si>
  <si>
    <t>SFSC</t>
  </si>
  <si>
    <t>RAD2</t>
  </si>
  <si>
    <t>RAD1</t>
  </si>
  <si>
    <t>NRAD</t>
  </si>
  <si>
    <t>OPT</t>
  </si>
  <si>
    <t>CLS</t>
  </si>
  <si>
    <t>NRC</t>
  </si>
  <si>
    <t>NUC</t>
  </si>
  <si>
    <t>Capital subs. nevarsat</t>
  </si>
  <si>
    <t>2025/01,2025/12,Analitic,RP</t>
  </si>
  <si>
    <t>142/AUTOWORLD NEXT S.R.L. , RO50186814, CAL. FLORESTI, NR. 145, 400524, Mun. Cluj-Napoca, RO</t>
  </si>
  <si>
    <t>Capital subs. varsat</t>
  </si>
  <si>
    <t>Prime de divizare / fuziune</t>
  </si>
  <si>
    <t>Rez reportat 2024</t>
  </si>
  <si>
    <t>Profit si pierdere</t>
  </si>
  <si>
    <t>Provizioane garantii clienti welt</t>
  </si>
  <si>
    <t>Imobilizare necorporala CAR CLOUD</t>
  </si>
  <si>
    <t>Site Motion</t>
  </si>
  <si>
    <t>Masini firma - AUDI</t>
  </si>
  <si>
    <t>Masini firma -WELT</t>
  </si>
  <si>
    <t>MASINI RENT A CAR</t>
  </si>
  <si>
    <t>MASINI DT-SH</t>
  </si>
  <si>
    <t>Mobilier, ap.birotica,ech.protectie a val.umane</t>
  </si>
  <si>
    <t>Mijloace Fixe IT</t>
  </si>
  <si>
    <t>Garantii furnizori externi</t>
  </si>
  <si>
    <t>Amortizare site CarCloud</t>
  </si>
  <si>
    <t>Amortizare Site Motion</t>
  </si>
  <si>
    <t>Amortizarea mijloacelor de transport</t>
  </si>
  <si>
    <t>Amortiz.mobilier,ap.birotica si alte imob.corporal</t>
  </si>
  <si>
    <t>Mat de natura ob de inventar</t>
  </si>
  <si>
    <t>Marfuri auto in curs de aprovizionare</t>
  </si>
  <si>
    <t>Marfuri</t>
  </si>
  <si>
    <t>Masini second hand  Welt</t>
  </si>
  <si>
    <t>Masini regim special Welt</t>
  </si>
  <si>
    <t>Masini Motion 24</t>
  </si>
  <si>
    <t xml:space="preserve">Masini second hand </t>
  </si>
  <si>
    <t>Provizion depreciere marfuri auto</t>
  </si>
  <si>
    <t>Furnizori</t>
  </si>
  <si>
    <t>Furnizori de imobilizari</t>
  </si>
  <si>
    <t>Furnizori - facturi nesosite</t>
  </si>
  <si>
    <t>Furnizori -Import Cross-Transfer vw</t>
  </si>
  <si>
    <t>Furnizori -Import Cross-Transfer audi</t>
  </si>
  <si>
    <t>DARE INSTAL</t>
  </si>
  <si>
    <t>PRIMUS AUTO</t>
  </si>
  <si>
    <t>Aw Plus</t>
  </si>
  <si>
    <t>Compexit Auto rulate</t>
  </si>
  <si>
    <t>CATSYS IT MEDIA</t>
  </si>
  <si>
    <t>DURBIS PROD SRL</t>
  </si>
  <si>
    <t>ELLITE CARDIOSUN SRL</t>
  </si>
  <si>
    <t>A&amp;A FIN CONSULTING SRL</t>
  </si>
  <si>
    <t>AW Prestige</t>
  </si>
  <si>
    <t>PORSCHE INTER AUTO</t>
  </si>
  <si>
    <t>YILDIZ IMPORT EXPORT</t>
  </si>
  <si>
    <t>ARANCIA TELECOM NETWORK SRL</t>
  </si>
  <si>
    <t>AGAP GREEN ENERGY</t>
  </si>
  <si>
    <t>AUTOWORLD PRESTIGE SRL</t>
  </si>
  <si>
    <t>AUTOGRAND ORADEA SRL</t>
  </si>
  <si>
    <t>Top Car Consult</t>
  </si>
  <si>
    <t>AUTOMOBILE BAVARIA</t>
  </si>
  <si>
    <t>QOSMO HOTEL</t>
  </si>
  <si>
    <t>OMV PETROM</t>
  </si>
  <si>
    <t>DACIA SERVICE CLUJ FELEAC</t>
  </si>
  <si>
    <t>BASARAB IMPORT-EXPORT</t>
  </si>
  <si>
    <t>PTH SECURITY SRL</t>
  </si>
  <si>
    <t>D&amp;C AUTOMOTIVE WEST</t>
  </si>
  <si>
    <t>Clienti masini noi</t>
  </si>
  <si>
    <t>Clienti - facturi de intocmit</t>
  </si>
  <si>
    <t>Avans clienti externi</t>
  </si>
  <si>
    <t>Avans auto Welt</t>
  </si>
  <si>
    <t>Personal - salarii datorate</t>
  </si>
  <si>
    <t>Personal-ajutoare mat datorate</t>
  </si>
  <si>
    <t>Avansuri acordate personalului</t>
  </si>
  <si>
    <t xml:space="preserve">Retineri salarii dat tertilor </t>
  </si>
  <si>
    <t>POPRIRE HARANTH ROBERT</t>
  </si>
  <si>
    <t>Alte creante in leg personalul</t>
  </si>
  <si>
    <t>Contribu?ia de asigurari sociale(cas 25%)</t>
  </si>
  <si>
    <t>Contribu?ia de asig sociale de sanatate(CASS 10%)</t>
  </si>
  <si>
    <t>Contribu?ia asiguratorie pentru munca(2,25%)</t>
  </si>
  <si>
    <t>TVA de plata</t>
  </si>
  <si>
    <t xml:space="preserve">TVA de plata operatiuni  Welt </t>
  </si>
  <si>
    <t>TVA de recuperat</t>
  </si>
  <si>
    <t>TVA DEDUCTIBILA</t>
  </si>
  <si>
    <t>TVA deductibila WELTAUTO</t>
  </si>
  <si>
    <t>TVA COLECTATA</t>
  </si>
  <si>
    <t>TVA colectata Welt</t>
  </si>
  <si>
    <t>TVA colectat regim special welt</t>
  </si>
  <si>
    <t>TVA NEEXIGIBIL PLATA</t>
  </si>
  <si>
    <t>TVA neexigibil plata SH</t>
  </si>
  <si>
    <t>Impozitul pe salarii</t>
  </si>
  <si>
    <t>Taxa mijloace de transport</t>
  </si>
  <si>
    <t xml:space="preserve">Decontari Autoworld </t>
  </si>
  <si>
    <t>Decontari Autoworld International</t>
  </si>
  <si>
    <t>Decontari Autoworld EUR</t>
  </si>
  <si>
    <t>Dobanzi aferente decontarilor AW</t>
  </si>
  <si>
    <t xml:space="preserve">Decontari cu asoc ref capital Autoworld </t>
  </si>
  <si>
    <t>Decontari cu asociatii privind capitalul</t>
  </si>
  <si>
    <t>Debitori Diversi</t>
  </si>
  <si>
    <t>Refacturari Autoworld Prestige</t>
  </si>
  <si>
    <t>Refacturari Autoworld Plus</t>
  </si>
  <si>
    <t>Refacturari Autoworld International</t>
  </si>
  <si>
    <t>Refacturari Autoworld Next</t>
  </si>
  <si>
    <t>Refacturari Autoworld Premium</t>
  </si>
  <si>
    <t xml:space="preserve">Refacturari Autoworld </t>
  </si>
  <si>
    <t>Decontari facturi reparatii dosar dauna</t>
  </si>
  <si>
    <t>Debitori diversi Autoworld SRL</t>
  </si>
  <si>
    <t>DEBITORI DIVERSI AW INT</t>
  </si>
  <si>
    <t>Debitori diversi AW PRESTIGE</t>
  </si>
  <si>
    <t>DEBITORI DIVERSI PREMIUM</t>
  </si>
  <si>
    <t>DEBITORI DIVERSI AW PLUS</t>
  </si>
  <si>
    <t>nealocat</t>
  </si>
  <si>
    <t>Creditori diversi</t>
  </si>
  <si>
    <t>Creditori externi</t>
  </si>
  <si>
    <t>Creditori diversi SH</t>
  </si>
  <si>
    <t>Creditori diversi MN -marje</t>
  </si>
  <si>
    <t>Garantii Motion 24</t>
  </si>
  <si>
    <t>Creditori diversi AW Premium</t>
  </si>
  <si>
    <t>Creditori diversi AW International</t>
  </si>
  <si>
    <t>CREDITORI DIVERSI AW</t>
  </si>
  <si>
    <t>CREDITORI DIVERSI AW PLUS</t>
  </si>
  <si>
    <t>CREDITORI DIVERSI AW PRESTIGE</t>
  </si>
  <si>
    <t>Chelt inregistrate in avans</t>
  </si>
  <si>
    <t>Cheltuieli inregist.in avans</t>
  </si>
  <si>
    <t>Asigurari auto in avans</t>
  </si>
  <si>
    <t>Asig. auto welt</t>
  </si>
  <si>
    <t>Refacturari Autoworld.ro</t>
  </si>
  <si>
    <t>Venituri inregistrate in avans</t>
  </si>
  <si>
    <t>Avans incasat SH</t>
  </si>
  <si>
    <t>Decont op in curs de clarific</t>
  </si>
  <si>
    <t>Decontari din operatii in curs de clarificare</t>
  </si>
  <si>
    <t>DISPONIBIL LA BANCA IN LEI</t>
  </si>
  <si>
    <t>Disponibil in banci Unicredit</t>
  </si>
  <si>
    <t>Disponibil in banci ITALO ROMENA</t>
  </si>
  <si>
    <t>DISPONIBIL UNICREDIT  PE CARD</t>
  </si>
  <si>
    <t>cont unicredit salarii</t>
  </si>
  <si>
    <t>DISPONIBIL CARD UNICREDIT CUM</t>
  </si>
  <si>
    <t>Disponibil in banci BT</t>
  </si>
  <si>
    <t>Disponibil banci valuta ITALO-ROMENA</t>
  </si>
  <si>
    <t>Disponibil in banci valuta Unicredit</t>
  </si>
  <si>
    <t>LINIE CREDIT UNICREDIT EURO</t>
  </si>
  <si>
    <t>Alte valori</t>
  </si>
  <si>
    <t>Alte Valori tichete cadou</t>
  </si>
  <si>
    <t>Pungea Ligia</t>
  </si>
  <si>
    <t>Lang  Annamaria</t>
  </si>
  <si>
    <t>Popa Dana</t>
  </si>
  <si>
    <t>ASZTALOS RALUCA</t>
  </si>
  <si>
    <t>HARANTH ROBERT</t>
  </si>
  <si>
    <t>BUCUR OVIDIU</t>
  </si>
  <si>
    <t>MARIS ANDREEA</t>
  </si>
  <si>
    <t>LUPOU OLIMPIU</t>
  </si>
  <si>
    <t>ANTON ANDREEA PATRICIA</t>
  </si>
  <si>
    <t>Miscare numerar casa banca</t>
  </si>
  <si>
    <t>Compensari furnizor-client</t>
  </si>
  <si>
    <t>Ch. cu combustibilul deductibil</t>
  </si>
  <si>
    <t>Cheltuieli cu nr.provizorii</t>
  </si>
  <si>
    <t>Chelt alte materiale cons</t>
  </si>
  <si>
    <t>Chelt mat natura ob inventar</t>
  </si>
  <si>
    <t>Obiecte Inventar telefoane, calculatoare, laptop</t>
  </si>
  <si>
    <t>Chelt privind mat nestocate</t>
  </si>
  <si>
    <t>Materiale administrative</t>
  </si>
  <si>
    <t>Chelt. consumabile informatice</t>
  </si>
  <si>
    <t xml:space="preserve">Ch.materiale nest. vanzari </t>
  </si>
  <si>
    <t>Chelt tipizate, papetarie</t>
  </si>
  <si>
    <t>Chelt privind energia</t>
  </si>
  <si>
    <t>Chelt privind apa</t>
  </si>
  <si>
    <t>Chelt consum gaz</t>
  </si>
  <si>
    <t>Combustibil electric</t>
  </si>
  <si>
    <t>CH. AUTO WELTAUTO</t>
  </si>
  <si>
    <t>Cheltuieli auto Welt regimul marjei</t>
  </si>
  <si>
    <t>Cheltuieli auto Welt altele</t>
  </si>
  <si>
    <t>Cheltuieli MF</t>
  </si>
  <si>
    <t>Reparatii masini SH</t>
  </si>
  <si>
    <t>Bonus Welt</t>
  </si>
  <si>
    <t>Discount marketing</t>
  </si>
  <si>
    <t>Chelt intretinere si reparatii</t>
  </si>
  <si>
    <t>Intretinere reparatii service</t>
  </si>
  <si>
    <t>Reparatii garantii Welt</t>
  </si>
  <si>
    <t>Reparatii masini stoc welt</t>
  </si>
  <si>
    <t>Reparatii masini noi</t>
  </si>
  <si>
    <t>Chirii, ch.redevente, locatii gestiune, altele</t>
  </si>
  <si>
    <t>Chirie GPS</t>
  </si>
  <si>
    <t>Chirie spatiu Autoworld SRL</t>
  </si>
  <si>
    <t>Chirie auto</t>
  </si>
  <si>
    <t>Cheltuieli redeventa Autoworld</t>
  </si>
  <si>
    <t>CHIRIE GPS (utilizat pana in 2023)</t>
  </si>
  <si>
    <t>Chelt cu primele de asigurare</t>
  </si>
  <si>
    <t>Cheltuieli asigurari parc auto</t>
  </si>
  <si>
    <t>Ch.cu asigurarile DEFEND</t>
  </si>
  <si>
    <t>Cheltuieli cu pregatirea personalului</t>
  </si>
  <si>
    <t>Cheltuieli serv management</t>
  </si>
  <si>
    <t>Cheltuieli de consultanta</t>
  </si>
  <si>
    <t>Chelt comisioane si onorarii</t>
  </si>
  <si>
    <t>Ch comisioane si onorarii Welt</t>
  </si>
  <si>
    <t>Ch comisioane si onorarii vanzari</t>
  </si>
  <si>
    <t>Protocol alti parteneri</t>
  </si>
  <si>
    <t>Chelt de reclama si publicitate</t>
  </si>
  <si>
    <t>Chelt de reclama si public AUTOWORLD.RO</t>
  </si>
  <si>
    <t xml:space="preserve">Chelt transp bunuri </t>
  </si>
  <si>
    <t>Ch transport  persoane</t>
  </si>
  <si>
    <t>CHELT TRANSP AUTO WELT</t>
  </si>
  <si>
    <t>Chelt depl, detasari, transfer</t>
  </si>
  <si>
    <t>Chelt postale, taxe de telecom</t>
  </si>
  <si>
    <t>Cheltuieli telefonice</t>
  </si>
  <si>
    <t>Ch.abonamente, presa, publicatii</t>
  </si>
  <si>
    <t>Chelt servicii bancare si asim</t>
  </si>
  <si>
    <t>Cheltuieli Medicina Muncii</t>
  </si>
  <si>
    <t>Abonamente medicale</t>
  </si>
  <si>
    <t>Servicii Crypto</t>
  </si>
  <si>
    <t>Servicii IT</t>
  </si>
  <si>
    <t>Alte servicii-inmatriculari, rar</t>
  </si>
  <si>
    <t xml:space="preserve">Alte servicii </t>
  </si>
  <si>
    <t>Serv colectare deseuri</t>
  </si>
  <si>
    <t>Chelt alte imp, taxe,vars asim</t>
  </si>
  <si>
    <t>Cheltuieli alte imp, taxe auto</t>
  </si>
  <si>
    <t>TAXA AUTO</t>
  </si>
  <si>
    <t>Franciza RAR</t>
  </si>
  <si>
    <t>Chelt salarii neproductive</t>
  </si>
  <si>
    <t>Bonusuri vanzatori</t>
  </si>
  <si>
    <t>Chelt.tichete masa acordate salariatilor</t>
  </si>
  <si>
    <t>Alte chelt asig si prot soc</t>
  </si>
  <si>
    <t xml:space="preserve">Concedii medicale suportate de unitate bonus    </t>
  </si>
  <si>
    <t>Concedii medicale neproductivi exceptand s</t>
  </si>
  <si>
    <t>Cheltuieli privind contributia asigutorie pentru m</t>
  </si>
  <si>
    <t>Despag, amenzi si penalitati</t>
  </si>
  <si>
    <t>amenzi, penalitati nedeductibile</t>
  </si>
  <si>
    <t>Chelt activ cedate,alte op cap</t>
  </si>
  <si>
    <t>Cheltuieli cu sumele sau bunurile acordate ca spon</t>
  </si>
  <si>
    <t>Alte cheltuieli de exploatare</t>
  </si>
  <si>
    <t>Alte chelt.de exploatare nedeductib.</t>
  </si>
  <si>
    <t>Chelt extindere garantii</t>
  </si>
  <si>
    <t>Diferente rotunjimi cross</t>
  </si>
  <si>
    <t xml:space="preserve">Chelt din dif de curs valutar </t>
  </si>
  <si>
    <t>Diferente nefavorabile de curs valutar IC</t>
  </si>
  <si>
    <t>Dobanda linie UNICREDIT-TIRIAC</t>
  </si>
  <si>
    <t>Dobanda Autoworld</t>
  </si>
  <si>
    <t xml:space="preserve">Chelt expl amort imob </t>
  </si>
  <si>
    <t>Amortiz. auto rent a car</t>
  </si>
  <si>
    <t>Amort masini firma - AUDI</t>
  </si>
  <si>
    <t>Amort masini firma - WELT</t>
  </si>
  <si>
    <t>Cheltuieli garantie Welt</t>
  </si>
  <si>
    <t>ch expl prov depr activ circ</t>
  </si>
  <si>
    <t>Venituri inchirieri Motion24</t>
  </si>
  <si>
    <t>Chirie auto conform ctr</t>
  </si>
  <si>
    <t>Venituri inchirieri Motion 6</t>
  </si>
  <si>
    <t>Ven.masini Weltauto</t>
  </si>
  <si>
    <t>Venit masini Welt regim special</t>
  </si>
  <si>
    <t>Venit masini Welt altele</t>
  </si>
  <si>
    <t>Venit MF</t>
  </si>
  <si>
    <t>Venit activ.diverse- bonus PLR welt</t>
  </si>
  <si>
    <t>Venit activit diverse-comision intermed asig</t>
  </si>
  <si>
    <t>Venit activit diverse bonus welt auto</t>
  </si>
  <si>
    <t>Venit activit diverse bonus MASINI NOI</t>
  </si>
  <si>
    <t>V. vanz active si alte op cap</t>
  </si>
  <si>
    <t>Alte venituri din exploatare</t>
  </si>
  <si>
    <t>Venit refact taxa poluare Welt</t>
  </si>
  <si>
    <t>Venit refact taxa poluare LNF</t>
  </si>
  <si>
    <t>Venit extindere garantii</t>
  </si>
  <si>
    <t>Refacturari polite asigurari DWA</t>
  </si>
  <si>
    <t>Alte Venituri</t>
  </si>
  <si>
    <t>Venit recuperare polite asigurari</t>
  </si>
  <si>
    <t>Venituri marketing</t>
  </si>
  <si>
    <t>Venit comision asigurari</t>
  </si>
  <si>
    <t>Venit comision intermediere vanzari</t>
  </si>
  <si>
    <t>Refacturare amenzi</t>
  </si>
  <si>
    <t>Venituri dif curs valutar</t>
  </si>
  <si>
    <t>Venituri din dobanzi</t>
  </si>
  <si>
    <t xml:space="preserve">Dobanda Autoworld </t>
  </si>
  <si>
    <t>Venituri prov riscuri si chelt gar welt</t>
  </si>
  <si>
    <t>Venituri prov depr activ circ</t>
  </si>
  <si>
    <t>lipsa - balanta catalin</t>
  </si>
  <si>
    <t>Verificare balanta - catalin</t>
  </si>
  <si>
    <t>SF-debit</t>
  </si>
  <si>
    <t>SF-credit</t>
  </si>
  <si>
    <t>Diferenta</t>
  </si>
  <si>
    <t>obs</t>
  </si>
  <si>
    <t>Bilant</t>
  </si>
  <si>
    <t>F10 - SI</t>
  </si>
  <si>
    <t>F10 - REF</t>
  </si>
  <si>
    <t>F10 - 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</si>
</sst>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i/>
      <sz val="7"/>
      <name val="Arial"/>
      <family val="2"/>
    </font>
    <font>
      <sz val="7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41">
    <xf numFmtId="0" fontId="0" fillId="0" borderId="0" xfId="0"/>
    <xf numFmtId="0" fontId="1" fillId="0" borderId="0" xfId="0" applyFont="1"/>
    <xf numFmtId="4" fontId="1" fillId="0" borderId="0" xfId="0" applyNumberFormat="1" applyFont="1"/>
    <xf numFmtId="0" fontId="1" fillId="0" borderId="1" xfId="0" applyFont="1" applyBorder="1"/>
    <xf numFmtId="0" fontId="2" fillId="0" borderId="2" xfId="0" applyFont="1" applyBorder="1"/>
    <xf numFmtId="4" fontId="2" fillId="0" borderId="1" xfId="0" applyNumberFormat="1" applyFont="1" applyBorder="1"/>
    <xf numFmtId="0" fontId="1" fillId="0" borderId="3" xfId="0" applyFont="1" applyBorder="1"/>
    <xf numFmtId="0" fontId="2" fillId="0" borderId="4" xfId="0" applyFont="1" applyBorder="1" applyAlignment="1">
      <alignment horizontal="left"/>
    </xf>
    <xf numFmtId="0" fontId="2" fillId="0" borderId="4" xfId="0" applyFont="1" applyBorder="1"/>
    <xf numFmtId="0" fontId="3" fillId="0" borderId="0" xfId="0" applyFont="1"/>
    <xf numFmtId="4" fontId="1" fillId="0" borderId="1" xfId="0" applyNumberFormat="1" applyFont="1" applyBorder="1" applyAlignment="1">
      <alignment horizontal="center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2" xfId="0" applyFont="1" applyBorder="1"/>
    <xf numFmtId="0" fontId="1" fillId="0" borderId="8" xfId="0" applyFont="1" applyBorder="1"/>
    <xf numFmtId="4" fontId="0" fillId="0" borderId="0" xfId="0" applyNumberFormat="1"/>
    <xf numFmtId="4" fontId="1" fillId="2" borderId="1" xfId="1" applyNumberFormat="1" applyFont="1" applyFill="1" applyBorder="1" applyAlignment="1">
      <alignment horizontal="center"/>
    </xf>
    <xf numFmtId="4" fontId="2" fillId="2" borderId="1" xfId="1" applyNumberFormat="1" applyFont="1" applyFill="1" applyBorder="1"/>
    <xf numFmtId="0" fontId="4" fillId="0" borderId="0" xfId="0" applyFont="1"/>
    <xf numFmtId="0" fontId="1" fillId="3" borderId="8" xfId="0" applyFont="1" applyFill="1" applyBorder="1"/>
    <xf numFmtId="0" fontId="1" fillId="3" borderId="6" xfId="0" applyFont="1" applyFill="1" applyBorder="1" applyAlignment="1">
      <alignment horizontal="left"/>
    </xf>
    <xf numFmtId="0" fontId="1" fillId="3" borderId="7" xfId="0" applyFont="1" applyFill="1" applyBorder="1" applyAlignment="1">
      <alignment horizontal="left"/>
    </xf>
    <xf numFmtId="0" fontId="1" fillId="3" borderId="2" xfId="0" applyFont="1" applyFill="1" applyBorder="1"/>
    <xf numFmtId="4" fontId="1" fillId="3" borderId="1" xfId="0" applyNumberFormat="1" applyFont="1" applyFill="1" applyBorder="1" applyAlignment="1">
      <alignment horizontal="center"/>
    </xf>
    <xf numFmtId="0" fontId="1" fillId="3" borderId="0" xfId="0" applyFont="1" applyFill="1"/>
    <xf numFmtId="0" fontId="0" fillId="3" borderId="0" xfId="0" applyFill="1"/>
    <xf numFmtId="4" fontId="1" fillId="3" borderId="1" xfId="1" applyNumberFormat="1" applyFont="1" applyFill="1" applyBorder="1" applyAlignment="1">
      <alignment horizontal="center"/>
    </xf>
    <xf numFmtId="4" fontId="0" fillId="3" borderId="0" xfId="0" applyNumberFormat="1" applyFill="1"/>
    <xf numFmtId="0" fontId="4" fillId="3" borderId="0" xfId="0" applyFont="1" applyFill="1"/>
    <xf numFmtId="4" fontId="2" fillId="2" borderId="9" xfId="1" applyNumberFormat="1" applyFont="1" applyFill="1" applyBorder="1"/>
    <xf numFmtId="0" fontId="4" fillId="0" borderId="13" xfId="0" applyFont="1" applyBorder="1"/>
    <xf numFmtId="0" fontId="4" fillId="0" borderId="14" xfId="0" applyFont="1" applyBorder="1"/>
    <xf numFmtId="0" fontId="4" fillId="0" borderId="15" xfId="0" applyFont="1" applyBorder="1"/>
    <xf numFmtId="4" fontId="1" fillId="0" borderId="1" xfId="1" applyNumberFormat="1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4" fontId="1" fillId="0" borderId="1" xfId="0" applyNumberFormat="1" applyFont="1" applyBorder="1" applyAlignment="1">
      <alignment horizontal="center"/>
    </xf>
    <xf numFmtId="0" fontId="1" fillId="0" borderId="5" xfId="0" applyFont="1" applyBorder="1" applyAlignment="1">
      <alignment horizontal="left"/>
    </xf>
  </cellXfs>
  <cellStyles count="2">
    <cellStyle name="Normal" xfId="0" builtinId="0"/>
    <cellStyle name="Normal 2" xfId="1" xr:uid="{103EAC12-5163-4D4E-96F4-C2FE4598E7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2" headers="0" adjustColumnWidth="0" connectionId="1" xr16:uid="{290A21EA-D494-469E-AEE5-01216958200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3336D-3965-45D7-8992-751BF1F60B6F}">
  <sheetPr codeName="Sheet1"/>
  <dimension ref="A1:AE266"/>
  <sheetViews>
    <sheetView tabSelected="1" topLeftCell="G1" zoomScaleNormal="100" workbookViewId="0">
      <pane ySplit="4" topLeftCell="A5" activePane="bottomLeft" state="frozen"/>
      <selection pane="bottomLeft" activeCell="W14" sqref="W14"/>
    </sheetView>
  </sheetViews>
  <sheetFormatPr defaultRowHeight="12.75" x14ac:dyDescent="0.2"/>
  <cols>
    <col min="1" max="1" width="1.85546875" style="1" hidden="1" customWidth="1"/>
    <col min="2" max="2" width="7.7109375" style="1" customWidth="1"/>
    <col min="3" max="3" width="3.5703125" style="1" hidden="1" customWidth="1"/>
    <col min="4" max="4" width="1.85546875" style="1" hidden="1" customWidth="1"/>
    <col min="5" max="5" width="2.7109375" style="1" customWidth="1"/>
    <col min="6" max="6" width="37.7109375" style="1" bestFit="1" customWidth="1"/>
    <col min="7" max="8" width="10.7109375" style="2" customWidth="1"/>
    <col min="9" max="14" width="10.7109375" style="2" hidden="1" customWidth="1"/>
    <col min="15" max="16" width="10.7109375" style="2" customWidth="1"/>
    <col min="17" max="20" width="10.7109375" style="1" customWidth="1"/>
    <col min="21" max="21" width="4" style="1" customWidth="1"/>
    <col min="22" max="22" width="8.5703125" style="1" customWidth="1"/>
    <col min="23" max="23" width="25.140625" style="1" customWidth="1"/>
    <col min="24" max="24" width="9.140625" customWidth="1"/>
    <col min="25" max="26" width="10" customWidth="1"/>
    <col min="27" max="27" width="12.28515625" customWidth="1"/>
    <col min="28" max="28" width="18.85546875" customWidth="1"/>
    <col min="29" max="29" width="7.5703125" bestFit="1" customWidth="1"/>
    <col min="30" max="30" width="12.28515625" bestFit="1" customWidth="1"/>
  </cols>
  <sheetData>
    <row r="1" spans="1:31" hidden="1" x14ac:dyDescent="0.2">
      <c r="A1" s="1" t="s">
        <v>10</v>
      </c>
      <c r="B1" s="1" t="s">
        <v>30</v>
      </c>
      <c r="C1" s="1" t="s">
        <v>26</v>
      </c>
      <c r="D1" s="1" t="s">
        <v>29</v>
      </c>
      <c r="E1" s="1" t="s">
        <v>9</v>
      </c>
      <c r="F1" s="1" t="s">
        <v>31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Q1" s="1" t="s">
        <v>21</v>
      </c>
      <c r="R1" s="1" t="s">
        <v>22</v>
      </c>
      <c r="S1" s="1" t="s">
        <v>23</v>
      </c>
      <c r="T1" s="1" t="s">
        <v>24</v>
      </c>
      <c r="U1" s="1" t="s">
        <v>25</v>
      </c>
      <c r="V1" s="1" t="s">
        <v>27</v>
      </c>
      <c r="W1" s="1" t="s">
        <v>28</v>
      </c>
    </row>
    <row r="2" spans="1:31" ht="13.5" thickBot="1" x14ac:dyDescent="0.25">
      <c r="B2" s="37" t="str">
        <f>X265</f>
        <v>142/AUTOWORLD NEXT S.R.L. , RO50186814, CAL. FLORESTI, NR. 145, 400524, Mun. Cluj-Napoca, RO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31" ht="43.5" customHeight="1" x14ac:dyDescent="0.2">
      <c r="A3" s="38" t="s">
        <v>8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Y3" s="34" t="s">
        <v>293</v>
      </c>
      <c r="Z3" s="35"/>
      <c r="AA3" s="35"/>
      <c r="AB3" s="36"/>
      <c r="AC3" s="18" t="s">
        <v>298</v>
      </c>
    </row>
    <row r="4" spans="1:31" ht="25.5" customHeight="1" thickBot="1" x14ac:dyDescent="0.25">
      <c r="A4" s="1" t="s">
        <v>0</v>
      </c>
      <c r="B4" s="40" t="s">
        <v>1</v>
      </c>
      <c r="C4" s="40"/>
      <c r="D4" s="40"/>
      <c r="E4" s="40"/>
      <c r="F4" s="3" t="s">
        <v>2</v>
      </c>
      <c r="G4" s="39" t="s">
        <v>4</v>
      </c>
      <c r="H4" s="39"/>
      <c r="I4" s="39" t="s">
        <v>3</v>
      </c>
      <c r="J4" s="39"/>
      <c r="K4" s="39" t="s">
        <v>5</v>
      </c>
      <c r="L4" s="39"/>
      <c r="M4" s="39" t="s">
        <v>6</v>
      </c>
      <c r="N4" s="39"/>
      <c r="O4" s="39" t="s">
        <v>7</v>
      </c>
      <c r="P4" s="39"/>
      <c r="Q4" s="1" t="s">
        <v>21</v>
      </c>
      <c r="R4" s="1" t="s">
        <v>22</v>
      </c>
      <c r="S4" s="1" t="s">
        <v>23</v>
      </c>
      <c r="T4" s="1" t="s">
        <v>24</v>
      </c>
      <c r="Y4" s="30" t="s">
        <v>294</v>
      </c>
      <c r="Z4" s="31" t="s">
        <v>295</v>
      </c>
      <c r="AA4" s="31" t="s">
        <v>296</v>
      </c>
      <c r="AB4" s="32" t="s">
        <v>297</v>
      </c>
      <c r="AC4" s="18" t="s">
        <v>299</v>
      </c>
      <c r="AD4" s="18" t="s">
        <v>301</v>
      </c>
      <c r="AE4" s="18" t="s">
        <v>300</v>
      </c>
    </row>
    <row r="5" spans="1:31" x14ac:dyDescent="0.2">
      <c r="A5" s="6">
        <v>1</v>
      </c>
      <c r="B5" s="11">
        <v>101100</v>
      </c>
      <c r="C5" s="11">
        <v>101100</v>
      </c>
      <c r="D5" s="11">
        <v>1</v>
      </c>
      <c r="E5" s="12"/>
      <c r="F5" s="13" t="s">
        <v>32</v>
      </c>
      <c r="G5" s="10">
        <v>0</v>
      </c>
      <c r="H5" s="10">
        <v>100</v>
      </c>
      <c r="I5" s="10">
        <v>0</v>
      </c>
      <c r="J5" s="10">
        <v>100</v>
      </c>
      <c r="K5" s="10">
        <v>100</v>
      </c>
      <c r="L5" s="10">
        <v>0</v>
      </c>
      <c r="M5" s="10">
        <v>100</v>
      </c>
      <c r="N5" s="10">
        <v>100</v>
      </c>
      <c r="O5" s="10">
        <v>0</v>
      </c>
      <c r="P5" s="10">
        <v>0</v>
      </c>
      <c r="Q5" s="1">
        <v>0</v>
      </c>
      <c r="R5" s="1">
        <v>100</v>
      </c>
      <c r="S5" s="1">
        <v>0</v>
      </c>
      <c r="T5" s="1">
        <v>0</v>
      </c>
      <c r="U5" s="1">
        <v>101100</v>
      </c>
      <c r="V5" s="1" t="s">
        <v>32</v>
      </c>
      <c r="W5" s="1" t="s">
        <v>33</v>
      </c>
      <c r="X5" s="9" t="s">
        <v>34</v>
      </c>
      <c r="Y5" s="29">
        <v>0</v>
      </c>
      <c r="Z5" s="29">
        <v>0</v>
      </c>
      <c r="AA5" s="15">
        <f t="shared" ref="AA5:AA68" si="0">O5-P5-Y5+Z5</f>
        <v>0</v>
      </c>
      <c r="AC5" s="15">
        <f>G5-H5</f>
        <v>-100</v>
      </c>
      <c r="AD5" s="15">
        <f>O5-P5</f>
        <v>0</v>
      </c>
      <c r="AE5">
        <v>33</v>
      </c>
    </row>
    <row r="6" spans="1:31" x14ac:dyDescent="0.2">
      <c r="A6" s="14">
        <v>1</v>
      </c>
      <c r="B6" s="11">
        <v>101200</v>
      </c>
      <c r="C6" s="11">
        <v>101200</v>
      </c>
      <c r="D6" s="11">
        <v>1</v>
      </c>
      <c r="E6" s="12"/>
      <c r="F6" s="13" t="s">
        <v>35</v>
      </c>
      <c r="G6" s="10">
        <v>0</v>
      </c>
      <c r="H6" s="10">
        <v>900</v>
      </c>
      <c r="I6" s="10">
        <v>0</v>
      </c>
      <c r="J6" s="10">
        <v>900</v>
      </c>
      <c r="K6" s="10">
        <v>0</v>
      </c>
      <c r="L6" s="10">
        <v>17790</v>
      </c>
      <c r="M6" s="10">
        <v>0</v>
      </c>
      <c r="N6" s="10">
        <v>18690</v>
      </c>
      <c r="O6" s="10">
        <v>0</v>
      </c>
      <c r="P6" s="10">
        <v>18690</v>
      </c>
      <c r="Q6" s="1">
        <v>0</v>
      </c>
      <c r="R6" s="1">
        <v>900</v>
      </c>
      <c r="S6" s="1">
        <v>0</v>
      </c>
      <c r="T6" s="1">
        <v>18690</v>
      </c>
      <c r="U6" s="1">
        <v>101200</v>
      </c>
      <c r="V6" s="1" t="s">
        <v>35</v>
      </c>
      <c r="W6" s="1" t="s">
        <v>33</v>
      </c>
      <c r="X6" t="s">
        <v>34</v>
      </c>
      <c r="Y6" s="16">
        <v>0</v>
      </c>
      <c r="Z6" s="16">
        <v>18690</v>
      </c>
      <c r="AA6" s="15">
        <f t="shared" si="0"/>
        <v>0</v>
      </c>
      <c r="AC6" s="15">
        <f t="shared" ref="AC6:AC69" si="1">G6-H6</f>
        <v>-900</v>
      </c>
      <c r="AD6" s="15">
        <f t="shared" ref="AD6:AD69" si="2">O6-P6</f>
        <v>-18690</v>
      </c>
      <c r="AE6">
        <v>32</v>
      </c>
    </row>
    <row r="7" spans="1:31" x14ac:dyDescent="0.2">
      <c r="A7" s="14">
        <v>1</v>
      </c>
      <c r="B7" s="11">
        <v>104200</v>
      </c>
      <c r="C7" s="11">
        <v>104200</v>
      </c>
      <c r="D7" s="11">
        <v>1</v>
      </c>
      <c r="E7" s="12"/>
      <c r="F7" s="13" t="s">
        <v>36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8779016.6300000008</v>
      </c>
      <c r="M7" s="10">
        <v>0</v>
      </c>
      <c r="N7" s="10">
        <v>8779016.6300000008</v>
      </c>
      <c r="O7" s="10">
        <v>0</v>
      </c>
      <c r="P7" s="10">
        <v>8779016.6300000008</v>
      </c>
      <c r="Q7" s="1">
        <v>0</v>
      </c>
      <c r="R7" s="1">
        <v>0</v>
      </c>
      <c r="S7" s="1">
        <v>0</v>
      </c>
      <c r="T7" s="1">
        <v>8779016.6300000008</v>
      </c>
      <c r="U7" s="1">
        <v>104200</v>
      </c>
      <c r="V7" s="1" t="s">
        <v>36</v>
      </c>
      <c r="W7" s="1" t="s">
        <v>33</v>
      </c>
      <c r="X7" t="s">
        <v>34</v>
      </c>
      <c r="Y7" s="16">
        <v>0</v>
      </c>
      <c r="Z7" s="16">
        <v>8779016.6300000008</v>
      </c>
      <c r="AA7" s="15">
        <f t="shared" si="0"/>
        <v>0</v>
      </c>
      <c r="AC7" s="15">
        <f t="shared" si="1"/>
        <v>0</v>
      </c>
      <c r="AD7" s="15">
        <f t="shared" si="2"/>
        <v>-8779016.6300000008</v>
      </c>
      <c r="AE7">
        <v>37</v>
      </c>
    </row>
    <row r="8" spans="1:31" s="25" customFormat="1" x14ac:dyDescent="0.2">
      <c r="A8" s="19">
        <v>1</v>
      </c>
      <c r="B8" s="20">
        <v>117100</v>
      </c>
      <c r="C8" s="20">
        <v>117100</v>
      </c>
      <c r="D8" s="20">
        <v>1</v>
      </c>
      <c r="E8" s="21"/>
      <c r="F8" s="22" t="s">
        <v>37</v>
      </c>
      <c r="G8" s="23">
        <v>0</v>
      </c>
      <c r="H8" s="23">
        <v>0</v>
      </c>
      <c r="I8" s="23">
        <v>0</v>
      </c>
      <c r="J8" s="23">
        <v>0</v>
      </c>
      <c r="K8" s="23">
        <v>994.74</v>
      </c>
      <c r="L8" s="23">
        <v>0</v>
      </c>
      <c r="M8" s="23">
        <v>994.74</v>
      </c>
      <c r="N8" s="23">
        <v>0</v>
      </c>
      <c r="O8" s="23">
        <v>994.74</v>
      </c>
      <c r="P8" s="23">
        <v>0</v>
      </c>
      <c r="Q8" s="24">
        <v>0</v>
      </c>
      <c r="R8" s="24">
        <v>0</v>
      </c>
      <c r="S8" s="24">
        <v>994.74</v>
      </c>
      <c r="T8" s="24">
        <v>0</v>
      </c>
      <c r="U8" s="24">
        <v>117100</v>
      </c>
      <c r="V8" s="24" t="s">
        <v>37</v>
      </c>
      <c r="W8" s="24" t="s">
        <v>33</v>
      </c>
      <c r="X8" s="25" t="s">
        <v>34</v>
      </c>
      <c r="Y8" s="26"/>
      <c r="Z8" s="26"/>
      <c r="AA8" s="27">
        <f t="shared" si="0"/>
        <v>994.74</v>
      </c>
      <c r="AB8" s="28" t="s">
        <v>292</v>
      </c>
      <c r="AC8" s="15">
        <f t="shared" si="1"/>
        <v>0</v>
      </c>
      <c r="AD8" s="15">
        <f t="shared" si="2"/>
        <v>994.74</v>
      </c>
      <c r="AE8" s="25">
        <v>44</v>
      </c>
    </row>
    <row r="9" spans="1:31" s="25" customFormat="1" x14ac:dyDescent="0.2">
      <c r="A9" s="19">
        <v>1</v>
      </c>
      <c r="B9" s="20">
        <v>1211</v>
      </c>
      <c r="C9" s="20">
        <v>1211</v>
      </c>
      <c r="D9" s="20">
        <v>1</v>
      </c>
      <c r="E9" s="21"/>
      <c r="F9" s="22" t="s">
        <v>38</v>
      </c>
      <c r="G9" s="23">
        <v>994.74</v>
      </c>
      <c r="H9" s="23">
        <v>0</v>
      </c>
      <c r="I9" s="23">
        <v>994.74</v>
      </c>
      <c r="J9" s="23">
        <v>0</v>
      </c>
      <c r="K9" s="23">
        <v>47937868.189999998</v>
      </c>
      <c r="L9" s="23">
        <v>46573526.530000001</v>
      </c>
      <c r="M9" s="23">
        <v>47938862.93</v>
      </c>
      <c r="N9" s="23">
        <v>46573526.530000001</v>
      </c>
      <c r="O9" s="23">
        <v>1365336.4</v>
      </c>
      <c r="P9" s="23">
        <v>0</v>
      </c>
      <c r="Q9" s="24">
        <v>994.74</v>
      </c>
      <c r="R9" s="24">
        <v>0</v>
      </c>
      <c r="S9" s="24">
        <v>1365336.4</v>
      </c>
      <c r="T9" s="24">
        <v>0</v>
      </c>
      <c r="U9" s="24">
        <v>1211</v>
      </c>
      <c r="V9" s="24" t="s">
        <v>38</v>
      </c>
      <c r="W9" s="24" t="s">
        <v>33</v>
      </c>
      <c r="X9" s="25" t="s">
        <v>34</v>
      </c>
      <c r="Y9" s="26">
        <v>1366331.14</v>
      </c>
      <c r="Z9" s="26">
        <v>0</v>
      </c>
      <c r="AA9" s="27">
        <f t="shared" si="0"/>
        <v>-994.73999999999069</v>
      </c>
      <c r="AC9" s="15">
        <f t="shared" si="1"/>
        <v>994.74</v>
      </c>
      <c r="AD9" s="15">
        <f t="shared" si="2"/>
        <v>1365336.4</v>
      </c>
      <c r="AE9" s="25">
        <v>46</v>
      </c>
    </row>
    <row r="10" spans="1:31" x14ac:dyDescent="0.2">
      <c r="A10" s="14">
        <v>1</v>
      </c>
      <c r="B10" s="11">
        <v>151201</v>
      </c>
      <c r="C10" s="11">
        <v>151201</v>
      </c>
      <c r="D10" s="11">
        <v>1</v>
      </c>
      <c r="E10" s="12"/>
      <c r="F10" s="13" t="s">
        <v>39</v>
      </c>
      <c r="G10" s="10">
        <v>0</v>
      </c>
      <c r="H10" s="10">
        <v>0</v>
      </c>
      <c r="I10" s="10">
        <v>0</v>
      </c>
      <c r="J10" s="10">
        <v>0</v>
      </c>
      <c r="K10" s="10">
        <v>374400</v>
      </c>
      <c r="L10" s="10">
        <v>641400</v>
      </c>
      <c r="M10" s="10">
        <v>374400</v>
      </c>
      <c r="N10" s="10">
        <v>641400</v>
      </c>
      <c r="O10" s="10">
        <v>0</v>
      </c>
      <c r="P10" s="10">
        <v>267000</v>
      </c>
      <c r="Q10" s="1">
        <v>0</v>
      </c>
      <c r="R10" s="1">
        <v>0</v>
      </c>
      <c r="S10" s="1">
        <v>0</v>
      </c>
      <c r="T10" s="1">
        <v>267000</v>
      </c>
      <c r="U10" s="1">
        <v>151201</v>
      </c>
      <c r="V10" s="1" t="s">
        <v>39</v>
      </c>
      <c r="W10" s="1" t="s">
        <v>33</v>
      </c>
      <c r="X10" t="s">
        <v>34</v>
      </c>
      <c r="Y10" s="16">
        <v>0</v>
      </c>
      <c r="Z10" s="16">
        <v>267000</v>
      </c>
      <c r="AA10" s="15">
        <f t="shared" si="0"/>
        <v>0</v>
      </c>
      <c r="AC10" s="15">
        <f t="shared" si="1"/>
        <v>0</v>
      </c>
      <c r="AD10" s="15">
        <f t="shared" si="2"/>
        <v>-267000</v>
      </c>
      <c r="AE10">
        <v>19</v>
      </c>
    </row>
    <row r="11" spans="1:31" x14ac:dyDescent="0.2">
      <c r="A11" s="14">
        <v>1</v>
      </c>
      <c r="B11" s="11">
        <v>208001</v>
      </c>
      <c r="C11" s="11">
        <v>208001</v>
      </c>
      <c r="D11" s="11">
        <v>2</v>
      </c>
      <c r="E11" s="12"/>
      <c r="F11" s="13" t="s">
        <v>40</v>
      </c>
      <c r="G11" s="10">
        <v>0</v>
      </c>
      <c r="H11" s="10">
        <v>0</v>
      </c>
      <c r="I11" s="10">
        <v>0</v>
      </c>
      <c r="J11" s="10">
        <v>0</v>
      </c>
      <c r="K11" s="10">
        <v>343430.44</v>
      </c>
      <c r="L11" s="10">
        <v>0</v>
      </c>
      <c r="M11" s="10">
        <v>343430.44</v>
      </c>
      <c r="N11" s="10">
        <v>0</v>
      </c>
      <c r="O11" s="10">
        <v>343430.44</v>
      </c>
      <c r="P11" s="10">
        <v>0</v>
      </c>
      <c r="Q11" s="1">
        <v>0</v>
      </c>
      <c r="R11" s="1">
        <v>0</v>
      </c>
      <c r="S11" s="1">
        <v>343430.44</v>
      </c>
      <c r="T11" s="1">
        <v>0</v>
      </c>
      <c r="U11" s="1">
        <v>208001</v>
      </c>
      <c r="V11" s="1" t="s">
        <v>40</v>
      </c>
      <c r="W11" s="1" t="s">
        <v>33</v>
      </c>
      <c r="X11" t="s">
        <v>34</v>
      </c>
      <c r="Y11" s="16">
        <v>343430.44</v>
      </c>
      <c r="Z11" s="16">
        <v>0</v>
      </c>
      <c r="AA11" s="15">
        <f t="shared" si="0"/>
        <v>0</v>
      </c>
      <c r="AC11" s="15">
        <f t="shared" si="1"/>
        <v>0</v>
      </c>
      <c r="AD11" s="15">
        <f t="shared" si="2"/>
        <v>343430.44</v>
      </c>
      <c r="AE11">
        <v>1</v>
      </c>
    </row>
    <row r="12" spans="1:31" x14ac:dyDescent="0.2">
      <c r="A12" s="14">
        <v>1</v>
      </c>
      <c r="B12" s="11">
        <v>208006</v>
      </c>
      <c r="C12" s="11">
        <v>208006</v>
      </c>
      <c r="D12" s="11">
        <v>2</v>
      </c>
      <c r="E12" s="12"/>
      <c r="F12" s="13" t="s">
        <v>41</v>
      </c>
      <c r="G12" s="10">
        <v>0</v>
      </c>
      <c r="H12" s="10">
        <v>0</v>
      </c>
      <c r="I12" s="10">
        <v>0</v>
      </c>
      <c r="J12" s="10">
        <v>0</v>
      </c>
      <c r="K12" s="10">
        <v>48199.22</v>
      </c>
      <c r="L12" s="10">
        <v>0</v>
      </c>
      <c r="M12" s="10">
        <v>48199.22</v>
      </c>
      <c r="N12" s="10">
        <v>0</v>
      </c>
      <c r="O12" s="10">
        <v>48199.22</v>
      </c>
      <c r="P12" s="10">
        <v>0</v>
      </c>
      <c r="Q12" s="1">
        <v>0</v>
      </c>
      <c r="R12" s="1">
        <v>0</v>
      </c>
      <c r="S12" s="1">
        <v>48199.22</v>
      </c>
      <c r="T12" s="1">
        <v>0</v>
      </c>
      <c r="U12" s="1">
        <v>208006</v>
      </c>
      <c r="V12" s="1" t="s">
        <v>41</v>
      </c>
      <c r="W12" s="1" t="s">
        <v>33</v>
      </c>
      <c r="X12" t="s">
        <v>34</v>
      </c>
      <c r="Y12" s="16">
        <v>48199.22</v>
      </c>
      <c r="Z12" s="16">
        <v>0</v>
      </c>
      <c r="AA12" s="15">
        <f t="shared" si="0"/>
        <v>0</v>
      </c>
      <c r="AC12" s="15">
        <f t="shared" si="1"/>
        <v>0</v>
      </c>
      <c r="AD12" s="15">
        <f t="shared" si="2"/>
        <v>48199.22</v>
      </c>
      <c r="AE12">
        <v>1</v>
      </c>
    </row>
    <row r="13" spans="1:31" x14ac:dyDescent="0.2">
      <c r="A13" s="14">
        <v>1</v>
      </c>
      <c r="B13" s="11">
        <v>213330</v>
      </c>
      <c r="C13" s="11">
        <v>213330</v>
      </c>
      <c r="D13" s="11">
        <v>2</v>
      </c>
      <c r="E13" s="12"/>
      <c r="F13" s="13" t="s">
        <v>42</v>
      </c>
      <c r="G13" s="10">
        <v>0</v>
      </c>
      <c r="H13" s="10">
        <v>0</v>
      </c>
      <c r="I13" s="10">
        <v>0</v>
      </c>
      <c r="J13" s="10">
        <v>0</v>
      </c>
      <c r="K13" s="10">
        <v>237238.14</v>
      </c>
      <c r="L13" s="10">
        <v>0</v>
      </c>
      <c r="M13" s="10">
        <v>237238.14</v>
      </c>
      <c r="N13" s="10">
        <v>0</v>
      </c>
      <c r="O13" s="10">
        <v>237238.14</v>
      </c>
      <c r="P13" s="10">
        <v>0</v>
      </c>
      <c r="Q13" s="1">
        <v>0</v>
      </c>
      <c r="R13" s="1">
        <v>0</v>
      </c>
      <c r="S13" s="1">
        <v>237238.14</v>
      </c>
      <c r="T13" s="1">
        <v>0</v>
      </c>
      <c r="U13" s="1">
        <v>213330</v>
      </c>
      <c r="V13" s="1" t="s">
        <v>42</v>
      </c>
      <c r="W13" s="1" t="s">
        <v>33</v>
      </c>
      <c r="X13" t="s">
        <v>34</v>
      </c>
      <c r="Y13" s="16">
        <v>237238.14</v>
      </c>
      <c r="Z13" s="16">
        <v>0</v>
      </c>
      <c r="AA13" s="15">
        <f t="shared" si="0"/>
        <v>0</v>
      </c>
      <c r="AC13" s="15">
        <f t="shared" si="1"/>
        <v>0</v>
      </c>
      <c r="AD13" s="15">
        <f t="shared" si="2"/>
        <v>237238.14</v>
      </c>
      <c r="AE13">
        <v>2</v>
      </c>
    </row>
    <row r="14" spans="1:31" x14ac:dyDescent="0.2">
      <c r="A14" s="14">
        <v>1</v>
      </c>
      <c r="B14" s="11">
        <v>213340</v>
      </c>
      <c r="C14" s="11">
        <v>213340</v>
      </c>
      <c r="D14" s="11">
        <v>2</v>
      </c>
      <c r="E14" s="12"/>
      <c r="F14" s="13" t="s">
        <v>43</v>
      </c>
      <c r="G14" s="10">
        <v>0</v>
      </c>
      <c r="H14" s="10">
        <v>0</v>
      </c>
      <c r="I14" s="10">
        <v>0</v>
      </c>
      <c r="J14" s="10">
        <v>0</v>
      </c>
      <c r="K14" s="10">
        <v>431556.3</v>
      </c>
      <c r="L14" s="10">
        <v>273869.46999999997</v>
      </c>
      <c r="M14" s="10">
        <v>431556.3</v>
      </c>
      <c r="N14" s="10">
        <v>273869.46999999997</v>
      </c>
      <c r="O14" s="10">
        <v>157686.82999999999</v>
      </c>
      <c r="P14" s="10">
        <v>0</v>
      </c>
      <c r="Q14" s="1">
        <v>0</v>
      </c>
      <c r="R14" s="1">
        <v>0</v>
      </c>
      <c r="S14" s="1">
        <v>157686.82999999999</v>
      </c>
      <c r="T14" s="1">
        <v>0</v>
      </c>
      <c r="U14" s="1">
        <v>213340</v>
      </c>
      <c r="V14" s="1" t="s">
        <v>43</v>
      </c>
      <c r="W14" s="1" t="s">
        <v>33</v>
      </c>
      <c r="X14" t="s">
        <v>34</v>
      </c>
      <c r="Y14" s="16">
        <v>157686.82999999999</v>
      </c>
      <c r="Z14" s="16">
        <v>0</v>
      </c>
      <c r="AA14" s="15">
        <f t="shared" si="0"/>
        <v>0</v>
      </c>
      <c r="AC14" s="15">
        <f t="shared" si="1"/>
        <v>0</v>
      </c>
      <c r="AD14" s="15">
        <f t="shared" si="2"/>
        <v>157686.82999999999</v>
      </c>
      <c r="AE14">
        <v>2</v>
      </c>
    </row>
    <row r="15" spans="1:31" x14ac:dyDescent="0.2">
      <c r="A15" s="14">
        <v>1</v>
      </c>
      <c r="B15" s="11">
        <v>213370</v>
      </c>
      <c r="C15" s="11">
        <v>213370</v>
      </c>
      <c r="D15" s="11">
        <v>2</v>
      </c>
      <c r="E15" s="12"/>
      <c r="F15" s="13" t="s">
        <v>44</v>
      </c>
      <c r="G15" s="10">
        <v>0</v>
      </c>
      <c r="H15" s="10">
        <v>0</v>
      </c>
      <c r="I15" s="10">
        <v>0</v>
      </c>
      <c r="J15" s="10">
        <v>0</v>
      </c>
      <c r="K15" s="10">
        <v>3646887.69</v>
      </c>
      <c r="L15" s="10">
        <v>466848.33</v>
      </c>
      <c r="M15" s="10">
        <v>3646887.69</v>
      </c>
      <c r="N15" s="10">
        <v>466848.33</v>
      </c>
      <c r="O15" s="10">
        <v>3180039.36</v>
      </c>
      <c r="P15" s="10">
        <v>0</v>
      </c>
      <c r="Q15" s="1">
        <v>0</v>
      </c>
      <c r="R15" s="1">
        <v>0</v>
      </c>
      <c r="S15" s="1">
        <v>3180039.36</v>
      </c>
      <c r="T15" s="1">
        <v>0</v>
      </c>
      <c r="U15" s="1">
        <v>213370</v>
      </c>
      <c r="V15" s="1" t="s">
        <v>44</v>
      </c>
      <c r="W15" s="1" t="s">
        <v>33</v>
      </c>
      <c r="X15" t="s">
        <v>34</v>
      </c>
      <c r="Y15" s="16">
        <v>3180039.36</v>
      </c>
      <c r="Z15" s="16">
        <v>0</v>
      </c>
      <c r="AA15" s="15">
        <f t="shared" si="0"/>
        <v>0</v>
      </c>
      <c r="AC15" s="15">
        <f t="shared" si="1"/>
        <v>0</v>
      </c>
      <c r="AD15" s="15">
        <f t="shared" si="2"/>
        <v>3180039.36</v>
      </c>
      <c r="AE15">
        <v>2</v>
      </c>
    </row>
    <row r="16" spans="1:31" x14ac:dyDescent="0.2">
      <c r="A16" s="14">
        <v>1</v>
      </c>
      <c r="B16" s="11">
        <v>213399</v>
      </c>
      <c r="C16" s="11">
        <v>213399</v>
      </c>
      <c r="D16" s="11">
        <v>2</v>
      </c>
      <c r="E16" s="12"/>
      <c r="F16" s="13" t="s">
        <v>45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">
        <v>0</v>
      </c>
      <c r="R16" s="1">
        <v>0</v>
      </c>
      <c r="S16" s="1">
        <v>0</v>
      </c>
      <c r="T16" s="1">
        <v>0</v>
      </c>
      <c r="U16" s="1">
        <v>213399</v>
      </c>
      <c r="V16" s="1" t="s">
        <v>45</v>
      </c>
      <c r="W16" s="1" t="s">
        <v>33</v>
      </c>
      <c r="X16" t="s">
        <v>34</v>
      </c>
      <c r="Y16" s="16">
        <v>0</v>
      </c>
      <c r="Z16" s="16">
        <v>0</v>
      </c>
      <c r="AA16" s="15">
        <f t="shared" si="0"/>
        <v>0</v>
      </c>
      <c r="AC16" s="15">
        <f t="shared" si="1"/>
        <v>0</v>
      </c>
      <c r="AD16" s="15">
        <f t="shared" si="2"/>
        <v>0</v>
      </c>
      <c r="AE16">
        <v>2</v>
      </c>
    </row>
    <row r="17" spans="1:31" x14ac:dyDescent="0.2">
      <c r="A17" s="14">
        <v>1</v>
      </c>
      <c r="B17" s="11">
        <v>2141</v>
      </c>
      <c r="C17" s="11">
        <v>2141</v>
      </c>
      <c r="D17" s="11">
        <v>2</v>
      </c>
      <c r="E17" s="12"/>
      <c r="F17" s="13" t="s">
        <v>46</v>
      </c>
      <c r="G17" s="10">
        <v>0</v>
      </c>
      <c r="H17" s="10">
        <v>0</v>
      </c>
      <c r="I17" s="10">
        <v>0</v>
      </c>
      <c r="J17" s="10">
        <v>0</v>
      </c>
      <c r="K17" s="10">
        <v>9759.36</v>
      </c>
      <c r="L17" s="10">
        <v>0</v>
      </c>
      <c r="M17" s="10">
        <v>9759.36</v>
      </c>
      <c r="N17" s="10">
        <v>0</v>
      </c>
      <c r="O17" s="10">
        <v>9759.36</v>
      </c>
      <c r="P17" s="10">
        <v>0</v>
      </c>
      <c r="Q17" s="1">
        <v>0</v>
      </c>
      <c r="R17" s="1">
        <v>0</v>
      </c>
      <c r="S17" s="1">
        <v>9759.36</v>
      </c>
      <c r="T17" s="1">
        <v>0</v>
      </c>
      <c r="U17" s="1">
        <v>2141</v>
      </c>
      <c r="V17" s="1" t="s">
        <v>46</v>
      </c>
      <c r="W17" s="1" t="s">
        <v>33</v>
      </c>
      <c r="X17" t="s">
        <v>34</v>
      </c>
      <c r="Y17" s="16">
        <v>9759.36</v>
      </c>
      <c r="Z17" s="16">
        <v>0</v>
      </c>
      <c r="AA17" s="15">
        <f t="shared" si="0"/>
        <v>0</v>
      </c>
      <c r="AC17" s="15">
        <f t="shared" si="1"/>
        <v>0</v>
      </c>
      <c r="AD17" s="15">
        <f t="shared" si="2"/>
        <v>9759.36</v>
      </c>
      <c r="AE17">
        <v>2</v>
      </c>
    </row>
    <row r="18" spans="1:31" x14ac:dyDescent="0.2">
      <c r="A18" s="14">
        <v>1</v>
      </c>
      <c r="B18" s="11">
        <v>2143</v>
      </c>
      <c r="C18" s="11">
        <v>2143</v>
      </c>
      <c r="D18" s="11">
        <v>2</v>
      </c>
      <c r="E18" s="12"/>
      <c r="F18" s="13" t="s">
        <v>47</v>
      </c>
      <c r="G18" s="10">
        <v>0</v>
      </c>
      <c r="H18" s="10">
        <v>0</v>
      </c>
      <c r="I18" s="10">
        <v>0</v>
      </c>
      <c r="J18" s="10">
        <v>0</v>
      </c>
      <c r="K18" s="10">
        <v>9759.36</v>
      </c>
      <c r="L18" s="10">
        <v>9759.36</v>
      </c>
      <c r="M18" s="10">
        <v>9759.36</v>
      </c>
      <c r="N18" s="10">
        <v>9759.36</v>
      </c>
      <c r="O18" s="10">
        <v>0</v>
      </c>
      <c r="P18" s="10">
        <v>0</v>
      </c>
      <c r="Q18" s="1">
        <v>0</v>
      </c>
      <c r="R18" s="1">
        <v>0</v>
      </c>
      <c r="S18" s="1">
        <v>0</v>
      </c>
      <c r="T18" s="1">
        <v>0</v>
      </c>
      <c r="U18" s="1">
        <v>2143</v>
      </c>
      <c r="V18" s="1" t="s">
        <v>47</v>
      </c>
      <c r="W18" s="1" t="s">
        <v>33</v>
      </c>
      <c r="X18" t="s">
        <v>34</v>
      </c>
      <c r="Y18" s="16">
        <v>0</v>
      </c>
      <c r="Z18" s="16">
        <v>0</v>
      </c>
      <c r="AA18" s="15">
        <f t="shared" si="0"/>
        <v>0</v>
      </c>
      <c r="AC18" s="15">
        <f t="shared" si="1"/>
        <v>0</v>
      </c>
      <c r="AD18" s="15">
        <f t="shared" si="2"/>
        <v>0</v>
      </c>
      <c r="AE18">
        <v>2</v>
      </c>
    </row>
    <row r="19" spans="1:31" x14ac:dyDescent="0.2">
      <c r="A19" s="14">
        <v>1</v>
      </c>
      <c r="B19" s="11">
        <v>267802</v>
      </c>
      <c r="C19" s="11">
        <v>267802</v>
      </c>
      <c r="D19" s="11">
        <v>2</v>
      </c>
      <c r="E19" s="12"/>
      <c r="F19" s="13" t="s">
        <v>48</v>
      </c>
      <c r="G19" s="10">
        <v>0</v>
      </c>
      <c r="H19" s="10">
        <v>0</v>
      </c>
      <c r="I19" s="10">
        <v>0</v>
      </c>
      <c r="J19" s="10">
        <v>0</v>
      </c>
      <c r="K19" s="10">
        <v>513409.45</v>
      </c>
      <c r="L19" s="10">
        <v>305120.3</v>
      </c>
      <c r="M19" s="10">
        <v>513409.45</v>
      </c>
      <c r="N19" s="10">
        <v>305120.3</v>
      </c>
      <c r="O19" s="10">
        <v>208289.15</v>
      </c>
      <c r="P19" s="10">
        <v>0</v>
      </c>
      <c r="Q19" s="1">
        <v>0</v>
      </c>
      <c r="R19" s="1">
        <v>0</v>
      </c>
      <c r="S19" s="1">
        <v>208289.15</v>
      </c>
      <c r="T19" s="1">
        <v>0</v>
      </c>
      <c r="U19" s="1">
        <v>267802</v>
      </c>
      <c r="V19" s="1" t="s">
        <v>48</v>
      </c>
      <c r="W19" s="1" t="s">
        <v>33</v>
      </c>
      <c r="X19" t="s">
        <v>34</v>
      </c>
      <c r="Y19" s="16">
        <v>208289.15</v>
      </c>
      <c r="Z19" s="16">
        <v>0</v>
      </c>
      <c r="AA19" s="15">
        <f t="shared" si="0"/>
        <v>0</v>
      </c>
      <c r="AC19" s="15">
        <f t="shared" si="1"/>
        <v>0</v>
      </c>
      <c r="AD19" s="15">
        <f t="shared" si="2"/>
        <v>208289.15</v>
      </c>
      <c r="AE19" s="18">
        <v>6</v>
      </c>
    </row>
    <row r="20" spans="1:31" x14ac:dyDescent="0.2">
      <c r="A20" s="14">
        <v>1</v>
      </c>
      <c r="B20" s="11">
        <v>280801</v>
      </c>
      <c r="C20" s="11">
        <v>280801</v>
      </c>
      <c r="D20" s="11">
        <v>2</v>
      </c>
      <c r="E20" s="12"/>
      <c r="F20" s="13" t="s">
        <v>49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337685.41</v>
      </c>
      <c r="M20" s="10">
        <v>0</v>
      </c>
      <c r="N20" s="10">
        <v>337685.41</v>
      </c>
      <c r="O20" s="10">
        <v>0</v>
      </c>
      <c r="P20" s="10">
        <v>337685.41</v>
      </c>
      <c r="Q20" s="1">
        <v>0</v>
      </c>
      <c r="R20" s="1">
        <v>0</v>
      </c>
      <c r="S20" s="1">
        <v>0</v>
      </c>
      <c r="T20" s="1">
        <v>337685.41</v>
      </c>
      <c r="U20" s="1">
        <v>280801</v>
      </c>
      <c r="V20" s="1" t="s">
        <v>49</v>
      </c>
      <c r="W20" s="1" t="s">
        <v>33</v>
      </c>
      <c r="X20" t="s">
        <v>34</v>
      </c>
      <c r="Y20" s="16">
        <v>0</v>
      </c>
      <c r="Z20" s="16">
        <v>337685.41</v>
      </c>
      <c r="AA20" s="15">
        <f t="shared" si="0"/>
        <v>0</v>
      </c>
      <c r="AC20" s="15">
        <f t="shared" si="1"/>
        <v>0</v>
      </c>
      <c r="AD20" s="15">
        <f t="shared" si="2"/>
        <v>-337685.41</v>
      </c>
      <c r="AE20">
        <v>1</v>
      </c>
    </row>
    <row r="21" spans="1:31" x14ac:dyDescent="0.2">
      <c r="A21" s="14">
        <v>1</v>
      </c>
      <c r="B21" s="11">
        <v>280806</v>
      </c>
      <c r="C21" s="11">
        <v>280806</v>
      </c>
      <c r="D21" s="11">
        <v>2</v>
      </c>
      <c r="E21" s="12"/>
      <c r="F21" s="13" t="s">
        <v>50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42843.75</v>
      </c>
      <c r="M21" s="10">
        <v>0</v>
      </c>
      <c r="N21" s="10">
        <v>42843.75</v>
      </c>
      <c r="O21" s="10">
        <v>0</v>
      </c>
      <c r="P21" s="10">
        <v>42843.75</v>
      </c>
      <c r="Q21" s="1">
        <v>0</v>
      </c>
      <c r="R21" s="1">
        <v>0</v>
      </c>
      <c r="S21" s="1">
        <v>0</v>
      </c>
      <c r="T21" s="1">
        <v>42843.75</v>
      </c>
      <c r="U21" s="1">
        <v>280806</v>
      </c>
      <c r="V21" s="1" t="s">
        <v>50</v>
      </c>
      <c r="W21" s="1" t="s">
        <v>33</v>
      </c>
      <c r="X21" t="s">
        <v>34</v>
      </c>
      <c r="Y21" s="16">
        <v>0</v>
      </c>
      <c r="Z21" s="16">
        <v>42843.75</v>
      </c>
      <c r="AA21" s="15">
        <f t="shared" si="0"/>
        <v>0</v>
      </c>
      <c r="AC21" s="15">
        <f t="shared" si="1"/>
        <v>0</v>
      </c>
      <c r="AD21" s="15">
        <f t="shared" si="2"/>
        <v>-42843.75</v>
      </c>
      <c r="AE21">
        <v>1</v>
      </c>
    </row>
    <row r="22" spans="1:31" x14ac:dyDescent="0.2">
      <c r="A22" s="14">
        <v>1</v>
      </c>
      <c r="B22" s="11">
        <v>28133</v>
      </c>
      <c r="C22" s="11">
        <v>28133</v>
      </c>
      <c r="D22" s="11">
        <v>2</v>
      </c>
      <c r="E22" s="12"/>
      <c r="F22" s="13" t="s">
        <v>51</v>
      </c>
      <c r="G22" s="10">
        <v>0</v>
      </c>
      <c r="H22" s="10">
        <v>0</v>
      </c>
      <c r="I22" s="10">
        <v>0</v>
      </c>
      <c r="J22" s="10">
        <v>0</v>
      </c>
      <c r="K22" s="10">
        <v>71410.009999999995</v>
      </c>
      <c r="L22" s="10">
        <v>630701.31999999995</v>
      </c>
      <c r="M22" s="10">
        <v>71410.009999999995</v>
      </c>
      <c r="N22" s="10">
        <v>630701.31999999995</v>
      </c>
      <c r="O22" s="10">
        <v>0</v>
      </c>
      <c r="P22" s="10">
        <v>559291.31000000006</v>
      </c>
      <c r="Q22" s="1">
        <v>0</v>
      </c>
      <c r="R22" s="1">
        <v>0</v>
      </c>
      <c r="S22" s="1">
        <v>0</v>
      </c>
      <c r="T22" s="1">
        <v>559291.31000000006</v>
      </c>
      <c r="U22" s="1">
        <v>28133</v>
      </c>
      <c r="V22" s="1" t="s">
        <v>51</v>
      </c>
      <c r="W22" s="1" t="s">
        <v>33</v>
      </c>
      <c r="X22" t="s">
        <v>34</v>
      </c>
      <c r="Y22" s="16">
        <v>0</v>
      </c>
      <c r="Z22" s="16">
        <v>559291.31000000006</v>
      </c>
      <c r="AA22" s="15">
        <f t="shared" si="0"/>
        <v>0</v>
      </c>
      <c r="AC22" s="15">
        <f t="shared" si="1"/>
        <v>0</v>
      </c>
      <c r="AD22" s="15">
        <f t="shared" si="2"/>
        <v>-559291.31000000006</v>
      </c>
      <c r="AE22">
        <v>2</v>
      </c>
    </row>
    <row r="23" spans="1:31" x14ac:dyDescent="0.2">
      <c r="A23" s="14">
        <v>1</v>
      </c>
      <c r="B23" s="11">
        <v>28141</v>
      </c>
      <c r="C23" s="11">
        <v>28141</v>
      </c>
      <c r="D23" s="11">
        <v>2</v>
      </c>
      <c r="E23" s="12"/>
      <c r="F23" s="13" t="s">
        <v>52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9759.36</v>
      </c>
      <c r="M23" s="10">
        <v>0</v>
      </c>
      <c r="N23" s="10">
        <v>9759.36</v>
      </c>
      <c r="O23" s="10">
        <v>0</v>
      </c>
      <c r="P23" s="10">
        <v>9759.36</v>
      </c>
      <c r="Q23" s="1">
        <v>0</v>
      </c>
      <c r="R23" s="1">
        <v>0</v>
      </c>
      <c r="S23" s="1">
        <v>0</v>
      </c>
      <c r="T23" s="1">
        <v>9759.36</v>
      </c>
      <c r="U23" s="1">
        <v>28141</v>
      </c>
      <c r="V23" s="1" t="s">
        <v>52</v>
      </c>
      <c r="W23" s="1" t="s">
        <v>33</v>
      </c>
      <c r="X23" t="s">
        <v>34</v>
      </c>
      <c r="Y23" s="16">
        <v>0</v>
      </c>
      <c r="Z23" s="16">
        <v>9759.36</v>
      </c>
      <c r="AA23" s="15">
        <f t="shared" si="0"/>
        <v>0</v>
      </c>
      <c r="AC23" s="15">
        <f t="shared" si="1"/>
        <v>0</v>
      </c>
      <c r="AD23" s="15">
        <f t="shared" si="2"/>
        <v>-9759.36</v>
      </c>
      <c r="AE23">
        <v>2</v>
      </c>
    </row>
    <row r="24" spans="1:31" x14ac:dyDescent="0.2">
      <c r="A24" s="14">
        <v>1</v>
      </c>
      <c r="B24" s="11">
        <v>303000</v>
      </c>
      <c r="C24" s="11">
        <v>303000</v>
      </c>
      <c r="D24" s="11">
        <v>3</v>
      </c>
      <c r="E24" s="12"/>
      <c r="F24" s="13" t="s">
        <v>53</v>
      </c>
      <c r="G24" s="10">
        <v>0</v>
      </c>
      <c r="H24" s="10">
        <v>0</v>
      </c>
      <c r="I24" s="10">
        <v>0</v>
      </c>
      <c r="J24" s="10">
        <v>0</v>
      </c>
      <c r="K24" s="10">
        <v>10681.24</v>
      </c>
      <c r="L24" s="10">
        <v>10681.24</v>
      </c>
      <c r="M24" s="10">
        <v>10681.24</v>
      </c>
      <c r="N24" s="10">
        <v>10681.24</v>
      </c>
      <c r="O24" s="10">
        <v>0</v>
      </c>
      <c r="P24" s="10">
        <v>0</v>
      </c>
      <c r="Q24" s="1">
        <v>0</v>
      </c>
      <c r="R24" s="1">
        <v>0</v>
      </c>
      <c r="S24" s="1">
        <v>0</v>
      </c>
      <c r="T24" s="1">
        <v>0</v>
      </c>
      <c r="U24" s="1">
        <v>303000</v>
      </c>
      <c r="V24" s="1" t="s">
        <v>53</v>
      </c>
      <c r="W24" s="1" t="s">
        <v>33</v>
      </c>
      <c r="X24" t="s">
        <v>34</v>
      </c>
      <c r="Y24" s="16">
        <v>0</v>
      </c>
      <c r="Z24" s="16">
        <v>0</v>
      </c>
      <c r="AA24" s="15">
        <f t="shared" si="0"/>
        <v>0</v>
      </c>
      <c r="AC24" s="15">
        <f t="shared" si="1"/>
        <v>0</v>
      </c>
      <c r="AD24" s="15">
        <f t="shared" si="2"/>
        <v>0</v>
      </c>
      <c r="AE24">
        <v>5</v>
      </c>
    </row>
    <row r="25" spans="1:31" x14ac:dyDescent="0.2">
      <c r="A25" s="14">
        <v>1</v>
      </c>
      <c r="B25" s="11">
        <v>327000</v>
      </c>
      <c r="C25" s="11">
        <v>327000</v>
      </c>
      <c r="D25" s="11">
        <v>3</v>
      </c>
      <c r="E25" s="12"/>
      <c r="F25" s="13" t="s">
        <v>54</v>
      </c>
      <c r="G25" s="10">
        <v>0</v>
      </c>
      <c r="H25" s="10">
        <v>0</v>
      </c>
      <c r="I25" s="10">
        <v>0</v>
      </c>
      <c r="J25" s="10">
        <v>0</v>
      </c>
      <c r="K25" s="10">
        <v>14838755.07</v>
      </c>
      <c r="L25" s="10">
        <v>14838755.07</v>
      </c>
      <c r="M25" s="10">
        <v>14838755.07</v>
      </c>
      <c r="N25" s="10">
        <v>14838755.07</v>
      </c>
      <c r="O25" s="10">
        <v>0</v>
      </c>
      <c r="P25" s="10">
        <v>0</v>
      </c>
      <c r="Q25" s="1">
        <v>0</v>
      </c>
      <c r="R25" s="1">
        <v>0</v>
      </c>
      <c r="S25" s="1">
        <v>0</v>
      </c>
      <c r="T25" s="1">
        <v>0</v>
      </c>
      <c r="U25" s="1">
        <v>327000</v>
      </c>
      <c r="V25" s="1" t="s">
        <v>54</v>
      </c>
      <c r="W25" s="1" t="s">
        <v>33</v>
      </c>
      <c r="X25" t="s">
        <v>34</v>
      </c>
      <c r="Y25" s="16">
        <v>0</v>
      </c>
      <c r="Z25" s="16">
        <v>0</v>
      </c>
      <c r="AA25" s="15">
        <f t="shared" si="0"/>
        <v>0</v>
      </c>
      <c r="AC25" s="15">
        <f t="shared" si="1"/>
        <v>0</v>
      </c>
      <c r="AD25" s="15">
        <f t="shared" si="2"/>
        <v>0</v>
      </c>
      <c r="AE25">
        <v>5</v>
      </c>
    </row>
    <row r="26" spans="1:31" x14ac:dyDescent="0.2">
      <c r="A26" s="14">
        <v>1</v>
      </c>
      <c r="B26" s="11">
        <v>371000</v>
      </c>
      <c r="C26" s="11">
        <v>371000</v>
      </c>
      <c r="D26" s="11">
        <v>3</v>
      </c>
      <c r="E26" s="12"/>
      <c r="F26" s="13" t="s">
        <v>55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">
        <v>0</v>
      </c>
      <c r="R26" s="1">
        <v>0</v>
      </c>
      <c r="S26" s="1">
        <v>0</v>
      </c>
      <c r="T26" s="1">
        <v>0</v>
      </c>
      <c r="U26" s="1">
        <v>371000</v>
      </c>
      <c r="V26" s="1" t="s">
        <v>55</v>
      </c>
      <c r="W26" s="1" t="s">
        <v>33</v>
      </c>
      <c r="X26" t="s">
        <v>34</v>
      </c>
      <c r="Y26" s="16">
        <v>0</v>
      </c>
      <c r="Z26" s="16">
        <v>0</v>
      </c>
      <c r="AA26" s="15">
        <f t="shared" si="0"/>
        <v>0</v>
      </c>
      <c r="AC26" s="15">
        <f t="shared" si="1"/>
        <v>0</v>
      </c>
      <c r="AD26" s="15">
        <f t="shared" si="2"/>
        <v>0</v>
      </c>
      <c r="AE26">
        <v>5</v>
      </c>
    </row>
    <row r="27" spans="1:31" x14ac:dyDescent="0.2">
      <c r="A27" s="14">
        <v>1</v>
      </c>
      <c r="B27" s="11">
        <v>371210</v>
      </c>
      <c r="C27" s="11">
        <v>371210</v>
      </c>
      <c r="D27" s="11">
        <v>3</v>
      </c>
      <c r="E27" s="12"/>
      <c r="F27" s="13" t="s">
        <v>56</v>
      </c>
      <c r="G27" s="10">
        <v>0</v>
      </c>
      <c r="H27" s="10">
        <v>0</v>
      </c>
      <c r="I27" s="10">
        <v>0</v>
      </c>
      <c r="J27" s="10">
        <v>0</v>
      </c>
      <c r="K27" s="10">
        <v>45947136.259999998</v>
      </c>
      <c r="L27" s="10">
        <v>41829161.840000004</v>
      </c>
      <c r="M27" s="10">
        <v>45947136.259999998</v>
      </c>
      <c r="N27" s="10">
        <v>41829161.840000004</v>
      </c>
      <c r="O27" s="10">
        <v>4117974.42</v>
      </c>
      <c r="P27" s="10">
        <v>0</v>
      </c>
      <c r="Q27" s="1">
        <v>0</v>
      </c>
      <c r="R27" s="1">
        <v>0</v>
      </c>
      <c r="S27" s="1">
        <v>4117974.42</v>
      </c>
      <c r="T27" s="1">
        <v>0</v>
      </c>
      <c r="U27" s="1">
        <v>371210</v>
      </c>
      <c r="V27" s="1" t="s">
        <v>56</v>
      </c>
      <c r="W27" s="1" t="s">
        <v>33</v>
      </c>
      <c r="X27" t="s">
        <v>34</v>
      </c>
      <c r="Y27" s="16">
        <v>4117974.42</v>
      </c>
      <c r="Z27" s="16">
        <v>0</v>
      </c>
      <c r="AA27" s="15">
        <f t="shared" si="0"/>
        <v>0</v>
      </c>
      <c r="AC27" s="15">
        <f t="shared" si="1"/>
        <v>0</v>
      </c>
      <c r="AD27" s="15">
        <f t="shared" si="2"/>
        <v>4117974.42</v>
      </c>
      <c r="AE27">
        <v>5</v>
      </c>
    </row>
    <row r="28" spans="1:31" x14ac:dyDescent="0.2">
      <c r="A28" s="14">
        <v>1</v>
      </c>
      <c r="B28" s="11">
        <v>371211</v>
      </c>
      <c r="C28" s="11">
        <v>371211</v>
      </c>
      <c r="D28" s="11">
        <v>3</v>
      </c>
      <c r="E28" s="12"/>
      <c r="F28" s="13" t="s">
        <v>57</v>
      </c>
      <c r="G28" s="10">
        <v>0</v>
      </c>
      <c r="H28" s="10">
        <v>0</v>
      </c>
      <c r="I28" s="10">
        <v>0</v>
      </c>
      <c r="J28" s="10">
        <v>0</v>
      </c>
      <c r="K28" s="10">
        <v>6215438.8899999997</v>
      </c>
      <c r="L28" s="10">
        <v>6215438.8899999997</v>
      </c>
      <c r="M28" s="10">
        <v>6215438.8899999997</v>
      </c>
      <c r="N28" s="10">
        <v>6215438.8899999997</v>
      </c>
      <c r="O28" s="10">
        <v>0</v>
      </c>
      <c r="P28" s="10">
        <v>0</v>
      </c>
      <c r="Q28" s="1">
        <v>0</v>
      </c>
      <c r="R28" s="1">
        <v>0</v>
      </c>
      <c r="S28" s="1">
        <v>0</v>
      </c>
      <c r="T28" s="1">
        <v>0</v>
      </c>
      <c r="U28" s="1">
        <v>371211</v>
      </c>
      <c r="V28" s="1" t="s">
        <v>57</v>
      </c>
      <c r="W28" s="1" t="s">
        <v>33</v>
      </c>
      <c r="X28" t="s">
        <v>34</v>
      </c>
      <c r="Y28" s="16">
        <v>0</v>
      </c>
      <c r="Z28" s="16">
        <v>0</v>
      </c>
      <c r="AA28" s="15">
        <f t="shared" si="0"/>
        <v>0</v>
      </c>
      <c r="AC28" s="15">
        <f t="shared" si="1"/>
        <v>0</v>
      </c>
      <c r="AD28" s="15">
        <f t="shared" si="2"/>
        <v>0</v>
      </c>
      <c r="AE28">
        <v>5</v>
      </c>
    </row>
    <row r="29" spans="1:31" x14ac:dyDescent="0.2">
      <c r="A29" s="14">
        <v>1</v>
      </c>
      <c r="B29" s="11">
        <v>371240</v>
      </c>
      <c r="C29" s="11">
        <v>371240</v>
      </c>
      <c r="D29" s="11">
        <v>3</v>
      </c>
      <c r="E29" s="12"/>
      <c r="F29" s="13" t="s">
        <v>58</v>
      </c>
      <c r="G29" s="10">
        <v>0</v>
      </c>
      <c r="H29" s="10">
        <v>0</v>
      </c>
      <c r="I29" s="10">
        <v>0</v>
      </c>
      <c r="J29" s="10">
        <v>0</v>
      </c>
      <c r="K29" s="10">
        <v>2315531.2799999998</v>
      </c>
      <c r="L29" s="10">
        <v>1989751.15</v>
      </c>
      <c r="M29" s="10">
        <v>2315531.2799999998</v>
      </c>
      <c r="N29" s="10">
        <v>1989751.15</v>
      </c>
      <c r="O29" s="10">
        <v>325780.13</v>
      </c>
      <c r="P29" s="10">
        <v>0</v>
      </c>
      <c r="Q29" s="1">
        <v>0</v>
      </c>
      <c r="R29" s="1">
        <v>0</v>
      </c>
      <c r="S29" s="1">
        <v>325780.13</v>
      </c>
      <c r="T29" s="1">
        <v>0</v>
      </c>
      <c r="U29" s="1">
        <v>371240</v>
      </c>
      <c r="V29" s="1" t="s">
        <v>58</v>
      </c>
      <c r="W29" s="1" t="s">
        <v>33</v>
      </c>
      <c r="X29" t="s">
        <v>34</v>
      </c>
      <c r="Y29" s="16">
        <v>325780.13</v>
      </c>
      <c r="Z29" s="16">
        <v>0</v>
      </c>
      <c r="AA29" s="15">
        <f t="shared" si="0"/>
        <v>0</v>
      </c>
      <c r="AC29" s="15">
        <f t="shared" si="1"/>
        <v>0</v>
      </c>
      <c r="AD29" s="15">
        <f t="shared" si="2"/>
        <v>325780.13</v>
      </c>
      <c r="AE29">
        <v>5</v>
      </c>
    </row>
    <row r="30" spans="1:31" x14ac:dyDescent="0.2">
      <c r="A30" s="14">
        <v>1</v>
      </c>
      <c r="B30" s="11">
        <v>371250</v>
      </c>
      <c r="C30" s="11">
        <v>371250</v>
      </c>
      <c r="D30" s="11">
        <v>3</v>
      </c>
      <c r="E30" s="12"/>
      <c r="F30" s="13" t="s">
        <v>59</v>
      </c>
      <c r="G30" s="10">
        <v>0</v>
      </c>
      <c r="H30" s="10">
        <v>0</v>
      </c>
      <c r="I30" s="10">
        <v>0</v>
      </c>
      <c r="J30" s="10">
        <v>0</v>
      </c>
      <c r="K30" s="10">
        <v>7157</v>
      </c>
      <c r="L30" s="10">
        <v>7157</v>
      </c>
      <c r="M30" s="10">
        <v>7157</v>
      </c>
      <c r="N30" s="10">
        <v>7157</v>
      </c>
      <c r="O30" s="10">
        <v>0</v>
      </c>
      <c r="P30" s="10">
        <v>0</v>
      </c>
      <c r="Q30" s="1">
        <v>0</v>
      </c>
      <c r="R30" s="1">
        <v>0</v>
      </c>
      <c r="S30" s="1">
        <v>0</v>
      </c>
      <c r="T30" s="1">
        <v>0</v>
      </c>
      <c r="U30" s="1">
        <v>371250</v>
      </c>
      <c r="V30" s="1" t="s">
        <v>59</v>
      </c>
      <c r="W30" s="1" t="s">
        <v>33</v>
      </c>
      <c r="X30" t="s">
        <v>34</v>
      </c>
      <c r="Y30" s="16">
        <v>0</v>
      </c>
      <c r="Z30" s="16">
        <v>0</v>
      </c>
      <c r="AA30" s="15">
        <f t="shared" si="0"/>
        <v>0</v>
      </c>
      <c r="AC30" s="15">
        <f t="shared" si="1"/>
        <v>0</v>
      </c>
      <c r="AD30" s="15">
        <f t="shared" si="2"/>
        <v>0</v>
      </c>
      <c r="AE30">
        <v>5</v>
      </c>
    </row>
    <row r="31" spans="1:31" x14ac:dyDescent="0.2">
      <c r="A31" s="14">
        <v>1</v>
      </c>
      <c r="B31" s="11">
        <v>397001</v>
      </c>
      <c r="C31" s="11">
        <v>397001</v>
      </c>
      <c r="D31" s="11">
        <v>3</v>
      </c>
      <c r="E31" s="12"/>
      <c r="F31" s="13" t="s">
        <v>60</v>
      </c>
      <c r="G31" s="10">
        <v>0</v>
      </c>
      <c r="H31" s="10">
        <v>0</v>
      </c>
      <c r="I31" s="10">
        <v>0</v>
      </c>
      <c r="J31" s="10">
        <v>0</v>
      </c>
      <c r="K31" s="10">
        <v>32847.56</v>
      </c>
      <c r="L31" s="10">
        <v>616655.63</v>
      </c>
      <c r="M31" s="10">
        <v>32847.56</v>
      </c>
      <c r="N31" s="10">
        <v>616655.63</v>
      </c>
      <c r="O31" s="10">
        <v>0</v>
      </c>
      <c r="P31" s="10">
        <v>583808.06999999995</v>
      </c>
      <c r="Q31" s="1">
        <v>0</v>
      </c>
      <c r="R31" s="1">
        <v>0</v>
      </c>
      <c r="S31" s="1">
        <v>0</v>
      </c>
      <c r="T31" s="1">
        <v>583808.06999999995</v>
      </c>
      <c r="U31" s="1">
        <v>397001</v>
      </c>
      <c r="V31" s="1" t="s">
        <v>60</v>
      </c>
      <c r="W31" s="1" t="s">
        <v>33</v>
      </c>
      <c r="X31" t="s">
        <v>34</v>
      </c>
      <c r="Y31" s="16">
        <v>0</v>
      </c>
      <c r="Z31" s="16">
        <v>583808.06999999995</v>
      </c>
      <c r="AA31" s="15">
        <f t="shared" si="0"/>
        <v>0</v>
      </c>
      <c r="AC31" s="15">
        <f t="shared" si="1"/>
        <v>0</v>
      </c>
      <c r="AD31" s="15">
        <f t="shared" si="2"/>
        <v>-583808.06999999995</v>
      </c>
      <c r="AE31">
        <v>5</v>
      </c>
    </row>
    <row r="32" spans="1:31" x14ac:dyDescent="0.2">
      <c r="A32" s="14">
        <v>1</v>
      </c>
      <c r="B32" s="11">
        <v>401000</v>
      </c>
      <c r="C32" s="11">
        <v>401000</v>
      </c>
      <c r="D32" s="11">
        <v>4</v>
      </c>
      <c r="E32" s="12"/>
      <c r="F32" s="13" t="s">
        <v>61</v>
      </c>
      <c r="G32" s="10">
        <v>0</v>
      </c>
      <c r="H32" s="10">
        <v>119</v>
      </c>
      <c r="I32" s="10">
        <v>0</v>
      </c>
      <c r="J32" s="10">
        <v>119</v>
      </c>
      <c r="K32" s="10">
        <v>46104249.869999997</v>
      </c>
      <c r="L32" s="10">
        <v>47374568.170000002</v>
      </c>
      <c r="M32" s="10">
        <v>46104249.869999997</v>
      </c>
      <c r="N32" s="10">
        <v>47374687.170000002</v>
      </c>
      <c r="O32" s="10">
        <v>0</v>
      </c>
      <c r="P32" s="10">
        <v>1270437.3</v>
      </c>
      <c r="Q32" s="1">
        <v>0</v>
      </c>
      <c r="R32" s="1">
        <v>119</v>
      </c>
      <c r="S32" s="1">
        <v>0</v>
      </c>
      <c r="T32" s="1">
        <v>1270437.3</v>
      </c>
      <c r="U32" s="1">
        <v>401000</v>
      </c>
      <c r="V32" s="1" t="s">
        <v>61</v>
      </c>
      <c r="W32" s="1" t="s">
        <v>33</v>
      </c>
      <c r="X32" t="s">
        <v>34</v>
      </c>
      <c r="Y32" s="16">
        <v>0</v>
      </c>
      <c r="Z32" s="16">
        <v>1270437.3</v>
      </c>
      <c r="AA32" s="15">
        <f t="shared" si="0"/>
        <v>0</v>
      </c>
      <c r="AC32" s="15">
        <f t="shared" si="1"/>
        <v>-119</v>
      </c>
      <c r="AD32" s="15">
        <f t="shared" si="2"/>
        <v>-1270437.3</v>
      </c>
      <c r="AE32">
        <v>15</v>
      </c>
    </row>
    <row r="33" spans="1:31" x14ac:dyDescent="0.2">
      <c r="A33" s="14">
        <v>1</v>
      </c>
      <c r="B33" s="11">
        <v>404000</v>
      </c>
      <c r="C33" s="11">
        <v>404000</v>
      </c>
      <c r="D33" s="11">
        <v>4</v>
      </c>
      <c r="E33" s="12"/>
      <c r="F33" s="13" t="s">
        <v>62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">
        <v>0</v>
      </c>
      <c r="R33" s="1">
        <v>0</v>
      </c>
      <c r="S33" s="1">
        <v>0</v>
      </c>
      <c r="T33" s="1">
        <v>0</v>
      </c>
      <c r="U33" s="1">
        <v>404000</v>
      </c>
      <c r="V33" s="1" t="s">
        <v>62</v>
      </c>
      <c r="W33" s="1" t="s">
        <v>33</v>
      </c>
      <c r="X33" t="s">
        <v>34</v>
      </c>
      <c r="Y33" s="16">
        <v>0</v>
      </c>
      <c r="Z33" s="16">
        <v>0</v>
      </c>
      <c r="AA33" s="15">
        <f t="shared" si="0"/>
        <v>0</v>
      </c>
      <c r="AC33" s="15">
        <f t="shared" si="1"/>
        <v>0</v>
      </c>
      <c r="AD33" s="15">
        <f t="shared" si="2"/>
        <v>0</v>
      </c>
      <c r="AE33">
        <v>15</v>
      </c>
    </row>
    <row r="34" spans="1:31" x14ac:dyDescent="0.2">
      <c r="A34" s="14">
        <v>1</v>
      </c>
      <c r="B34" s="11">
        <v>408000</v>
      </c>
      <c r="C34" s="11">
        <v>408000</v>
      </c>
      <c r="D34" s="11">
        <v>4</v>
      </c>
      <c r="E34" s="12"/>
      <c r="F34" s="13" t="s">
        <v>63</v>
      </c>
      <c r="G34" s="10">
        <v>0</v>
      </c>
      <c r="H34" s="10">
        <v>0</v>
      </c>
      <c r="I34" s="10">
        <v>0</v>
      </c>
      <c r="J34" s="10">
        <v>0</v>
      </c>
      <c r="K34" s="10">
        <v>1550348.8</v>
      </c>
      <c r="L34" s="10">
        <v>1667665.42</v>
      </c>
      <c r="M34" s="10">
        <v>1550348.8</v>
      </c>
      <c r="N34" s="10">
        <v>1667665.42</v>
      </c>
      <c r="O34" s="10">
        <v>0</v>
      </c>
      <c r="P34" s="10">
        <v>117316.62</v>
      </c>
      <c r="Q34" s="1">
        <v>0</v>
      </c>
      <c r="R34" s="1">
        <v>0</v>
      </c>
      <c r="S34" s="1">
        <v>0</v>
      </c>
      <c r="T34" s="1">
        <v>117316.62</v>
      </c>
      <c r="U34" s="1">
        <v>408000</v>
      </c>
      <c r="V34" s="1" t="s">
        <v>63</v>
      </c>
      <c r="W34" s="1" t="s">
        <v>33</v>
      </c>
      <c r="X34" t="s">
        <v>34</v>
      </c>
      <c r="Y34" s="16">
        <v>0</v>
      </c>
      <c r="Z34" s="16">
        <v>117316.62</v>
      </c>
      <c r="AA34" s="15">
        <f t="shared" si="0"/>
        <v>0</v>
      </c>
      <c r="AC34" s="15">
        <f t="shared" si="1"/>
        <v>0</v>
      </c>
      <c r="AD34" s="15">
        <f t="shared" si="2"/>
        <v>-117316.62</v>
      </c>
      <c r="AE34">
        <v>15</v>
      </c>
    </row>
    <row r="35" spans="1:31" x14ac:dyDescent="0.2">
      <c r="A35" s="14">
        <v>1</v>
      </c>
      <c r="B35" s="11">
        <v>408101</v>
      </c>
      <c r="C35" s="11">
        <v>408101</v>
      </c>
      <c r="D35" s="11">
        <v>4</v>
      </c>
      <c r="E35" s="12"/>
      <c r="F35" s="13" t="s">
        <v>64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">
        <v>0</v>
      </c>
      <c r="R35" s="1">
        <v>0</v>
      </c>
      <c r="S35" s="1">
        <v>0</v>
      </c>
      <c r="T35" s="1">
        <v>0</v>
      </c>
      <c r="U35" s="1">
        <v>408101</v>
      </c>
      <c r="V35" s="1" t="s">
        <v>64</v>
      </c>
      <c r="W35" s="1" t="s">
        <v>33</v>
      </c>
      <c r="X35" t="s">
        <v>34</v>
      </c>
      <c r="Y35" s="16">
        <v>0</v>
      </c>
      <c r="Z35" s="16">
        <v>0</v>
      </c>
      <c r="AA35" s="15">
        <f t="shared" si="0"/>
        <v>0</v>
      </c>
      <c r="AC35" s="15">
        <f t="shared" si="1"/>
        <v>0</v>
      </c>
      <c r="AD35" s="15">
        <f t="shared" si="2"/>
        <v>0</v>
      </c>
      <c r="AE35">
        <v>15</v>
      </c>
    </row>
    <row r="36" spans="1:31" x14ac:dyDescent="0.2">
      <c r="A36" s="14">
        <v>1</v>
      </c>
      <c r="B36" s="11">
        <v>408102</v>
      </c>
      <c r="C36" s="11">
        <v>408102</v>
      </c>
      <c r="D36" s="11">
        <v>4</v>
      </c>
      <c r="E36" s="12"/>
      <c r="F36" s="13" t="s">
        <v>65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">
        <v>0</v>
      </c>
      <c r="R36" s="1">
        <v>0</v>
      </c>
      <c r="S36" s="1">
        <v>0</v>
      </c>
      <c r="T36" s="1">
        <v>0</v>
      </c>
      <c r="U36" s="1">
        <v>408102</v>
      </c>
      <c r="V36" s="1" t="s">
        <v>65</v>
      </c>
      <c r="W36" s="1" t="s">
        <v>33</v>
      </c>
      <c r="X36" t="s">
        <v>34</v>
      </c>
      <c r="Y36" s="16">
        <v>0</v>
      </c>
      <c r="Z36" s="16">
        <v>0</v>
      </c>
      <c r="AA36" s="15">
        <f t="shared" si="0"/>
        <v>0</v>
      </c>
      <c r="AC36" s="15">
        <f t="shared" si="1"/>
        <v>0</v>
      </c>
      <c r="AD36" s="15">
        <f t="shared" si="2"/>
        <v>0</v>
      </c>
      <c r="AE36">
        <v>15</v>
      </c>
    </row>
    <row r="37" spans="1:31" x14ac:dyDescent="0.2">
      <c r="A37" s="14">
        <v>1</v>
      </c>
      <c r="B37" s="11">
        <v>4091092</v>
      </c>
      <c r="C37" s="11">
        <v>4091092</v>
      </c>
      <c r="D37" s="11">
        <v>4</v>
      </c>
      <c r="E37" s="12"/>
      <c r="F37" s="13" t="s">
        <v>66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">
        <v>0</v>
      </c>
      <c r="R37" s="1">
        <v>0</v>
      </c>
      <c r="S37" s="1">
        <v>0</v>
      </c>
      <c r="T37" s="1">
        <v>0</v>
      </c>
      <c r="U37" s="1">
        <v>4091092</v>
      </c>
      <c r="V37" s="1" t="s">
        <v>66</v>
      </c>
      <c r="W37" s="1" t="s">
        <v>33</v>
      </c>
      <c r="X37" t="s">
        <v>34</v>
      </c>
      <c r="Y37" s="16">
        <v>0</v>
      </c>
      <c r="Z37" s="16">
        <v>0</v>
      </c>
      <c r="AA37" s="15">
        <f t="shared" si="0"/>
        <v>0</v>
      </c>
      <c r="AC37" s="15">
        <f t="shared" si="1"/>
        <v>0</v>
      </c>
      <c r="AD37" s="15">
        <f t="shared" si="2"/>
        <v>0</v>
      </c>
      <c r="AE37">
        <v>5</v>
      </c>
    </row>
    <row r="38" spans="1:31" x14ac:dyDescent="0.2">
      <c r="A38" s="14">
        <v>1</v>
      </c>
      <c r="B38" s="11">
        <v>4091095</v>
      </c>
      <c r="C38" s="11">
        <v>4091095</v>
      </c>
      <c r="D38" s="11">
        <v>4</v>
      </c>
      <c r="E38" s="12"/>
      <c r="F38" s="13" t="s">
        <v>67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  <c r="O38" s="10">
        <v>0</v>
      </c>
      <c r="P38" s="10">
        <v>0</v>
      </c>
      <c r="Q38" s="1">
        <v>0</v>
      </c>
      <c r="R38" s="1">
        <v>0</v>
      </c>
      <c r="S38" s="1">
        <v>0</v>
      </c>
      <c r="T38" s="1">
        <v>0</v>
      </c>
      <c r="U38" s="1">
        <v>4091095</v>
      </c>
      <c r="V38" s="1" t="s">
        <v>67</v>
      </c>
      <c r="W38" s="1" t="s">
        <v>33</v>
      </c>
      <c r="X38" t="s">
        <v>34</v>
      </c>
      <c r="Y38" s="33">
        <v>0</v>
      </c>
      <c r="Z38" s="33">
        <v>0</v>
      </c>
      <c r="AA38" s="15">
        <f t="shared" si="0"/>
        <v>0</v>
      </c>
      <c r="AC38" s="15">
        <f t="shared" si="1"/>
        <v>0</v>
      </c>
      <c r="AD38" s="15">
        <f t="shared" si="2"/>
        <v>0</v>
      </c>
      <c r="AE38">
        <v>5</v>
      </c>
    </row>
    <row r="39" spans="1:31" x14ac:dyDescent="0.2">
      <c r="A39" s="14">
        <v>1</v>
      </c>
      <c r="B39" s="11">
        <v>4091193</v>
      </c>
      <c r="C39" s="11">
        <v>4091193</v>
      </c>
      <c r="D39" s="11">
        <v>4</v>
      </c>
      <c r="E39" s="12"/>
      <c r="F39" s="13" t="s">
        <v>68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  <c r="O39" s="10">
        <v>0</v>
      </c>
      <c r="P39" s="10">
        <v>0</v>
      </c>
      <c r="Q39" s="1">
        <v>0</v>
      </c>
      <c r="R39" s="1">
        <v>0</v>
      </c>
      <c r="S39" s="1">
        <v>0</v>
      </c>
      <c r="T39" s="1">
        <v>0</v>
      </c>
      <c r="U39" s="1">
        <v>4091193</v>
      </c>
      <c r="V39" s="1" t="s">
        <v>68</v>
      </c>
      <c r="W39" s="1" t="s">
        <v>33</v>
      </c>
      <c r="X39" t="s">
        <v>34</v>
      </c>
      <c r="Y39" s="33">
        <v>0</v>
      </c>
      <c r="Z39" s="33">
        <v>0</v>
      </c>
      <c r="AA39" s="15">
        <f t="shared" si="0"/>
        <v>0</v>
      </c>
      <c r="AC39" s="15">
        <f t="shared" si="1"/>
        <v>0</v>
      </c>
      <c r="AD39" s="15">
        <f t="shared" si="2"/>
        <v>0</v>
      </c>
      <c r="AE39">
        <v>5</v>
      </c>
    </row>
    <row r="40" spans="1:31" x14ac:dyDescent="0.2">
      <c r="A40" s="14">
        <v>1</v>
      </c>
      <c r="B40" s="11">
        <v>4091194</v>
      </c>
      <c r="C40" s="11">
        <v>4091194</v>
      </c>
      <c r="D40" s="11">
        <v>4</v>
      </c>
      <c r="E40" s="12"/>
      <c r="F40" s="13" t="s">
        <v>69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  <c r="O40" s="10">
        <v>0</v>
      </c>
      <c r="P40" s="10">
        <v>0</v>
      </c>
      <c r="Q40" s="1">
        <v>0</v>
      </c>
      <c r="R40" s="1">
        <v>0</v>
      </c>
      <c r="S40" s="1">
        <v>0</v>
      </c>
      <c r="T40" s="1">
        <v>0</v>
      </c>
      <c r="U40" s="1">
        <v>4091194</v>
      </c>
      <c r="V40" s="1" t="s">
        <v>69</v>
      </c>
      <c r="W40" s="1" t="s">
        <v>33</v>
      </c>
      <c r="X40" t="s">
        <v>34</v>
      </c>
      <c r="Y40" s="33">
        <v>0</v>
      </c>
      <c r="Z40" s="33">
        <v>0</v>
      </c>
      <c r="AA40" s="15">
        <f t="shared" si="0"/>
        <v>0</v>
      </c>
      <c r="AC40" s="15">
        <f t="shared" si="1"/>
        <v>0</v>
      </c>
      <c r="AD40" s="15">
        <f t="shared" si="2"/>
        <v>0</v>
      </c>
      <c r="AE40">
        <v>5</v>
      </c>
    </row>
    <row r="41" spans="1:31" x14ac:dyDescent="0.2">
      <c r="A41" s="14">
        <v>1</v>
      </c>
      <c r="B41" s="11">
        <v>4091195</v>
      </c>
      <c r="C41" s="11">
        <v>4091195</v>
      </c>
      <c r="D41" s="11">
        <v>4</v>
      </c>
      <c r="E41" s="12"/>
      <c r="F41" s="13" t="s">
        <v>70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  <c r="O41" s="10">
        <v>0</v>
      </c>
      <c r="P41" s="10">
        <v>0</v>
      </c>
      <c r="Q41" s="1">
        <v>0</v>
      </c>
      <c r="R41" s="1">
        <v>0</v>
      </c>
      <c r="S41" s="1">
        <v>0</v>
      </c>
      <c r="T41" s="1">
        <v>0</v>
      </c>
      <c r="U41" s="1">
        <v>4091195</v>
      </c>
      <c r="V41" s="1" t="s">
        <v>70</v>
      </c>
      <c r="W41" s="1" t="s">
        <v>33</v>
      </c>
      <c r="X41" t="s">
        <v>34</v>
      </c>
      <c r="Y41" s="33">
        <v>0</v>
      </c>
      <c r="Z41" s="33">
        <v>0</v>
      </c>
      <c r="AA41" s="15">
        <f t="shared" si="0"/>
        <v>0</v>
      </c>
      <c r="AC41" s="15">
        <f t="shared" si="1"/>
        <v>0</v>
      </c>
      <c r="AD41" s="15">
        <f t="shared" si="2"/>
        <v>0</v>
      </c>
      <c r="AE41">
        <v>5</v>
      </c>
    </row>
    <row r="42" spans="1:31" x14ac:dyDescent="0.2">
      <c r="A42" s="14">
        <v>1</v>
      </c>
      <c r="B42" s="11">
        <v>4091196</v>
      </c>
      <c r="C42" s="11">
        <v>4091196</v>
      </c>
      <c r="D42" s="11">
        <v>4</v>
      </c>
      <c r="E42" s="12"/>
      <c r="F42" s="13" t="s">
        <v>71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  <c r="O42" s="10">
        <v>0</v>
      </c>
      <c r="P42" s="10">
        <v>0</v>
      </c>
      <c r="Q42" s="1">
        <v>0</v>
      </c>
      <c r="R42" s="1">
        <v>0</v>
      </c>
      <c r="S42" s="1">
        <v>0</v>
      </c>
      <c r="T42" s="1">
        <v>0</v>
      </c>
      <c r="U42" s="1">
        <v>4091196</v>
      </c>
      <c r="V42" s="1" t="s">
        <v>71</v>
      </c>
      <c r="W42" s="1" t="s">
        <v>33</v>
      </c>
      <c r="X42" t="s">
        <v>34</v>
      </c>
      <c r="Y42" s="33">
        <v>0</v>
      </c>
      <c r="Z42" s="33">
        <v>0</v>
      </c>
      <c r="AA42" s="15">
        <f t="shared" si="0"/>
        <v>0</v>
      </c>
      <c r="AC42" s="15">
        <f t="shared" si="1"/>
        <v>0</v>
      </c>
      <c r="AD42" s="15">
        <f t="shared" si="2"/>
        <v>0</v>
      </c>
      <c r="AE42">
        <v>5</v>
      </c>
    </row>
    <row r="43" spans="1:31" x14ac:dyDescent="0.2">
      <c r="A43" s="14">
        <v>1</v>
      </c>
      <c r="B43" s="11">
        <v>4091197</v>
      </c>
      <c r="C43" s="11">
        <v>4091197</v>
      </c>
      <c r="D43" s="11">
        <v>4</v>
      </c>
      <c r="E43" s="12"/>
      <c r="F43" s="13" t="s">
        <v>72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">
        <v>0</v>
      </c>
      <c r="R43" s="1">
        <v>0</v>
      </c>
      <c r="S43" s="1">
        <v>0</v>
      </c>
      <c r="T43" s="1">
        <v>0</v>
      </c>
      <c r="U43" s="1">
        <v>4091197</v>
      </c>
      <c r="V43" s="1" t="s">
        <v>72</v>
      </c>
      <c r="W43" s="1" t="s">
        <v>33</v>
      </c>
      <c r="X43" t="s">
        <v>34</v>
      </c>
      <c r="Y43" s="33">
        <v>0</v>
      </c>
      <c r="Z43" s="33">
        <v>0</v>
      </c>
      <c r="AA43" s="15">
        <f t="shared" si="0"/>
        <v>0</v>
      </c>
      <c r="AC43" s="15">
        <f t="shared" si="1"/>
        <v>0</v>
      </c>
      <c r="AD43" s="15">
        <f t="shared" si="2"/>
        <v>0</v>
      </c>
      <c r="AE43">
        <v>5</v>
      </c>
    </row>
    <row r="44" spans="1:31" x14ac:dyDescent="0.2">
      <c r="A44" s="14">
        <v>1</v>
      </c>
      <c r="B44" s="11">
        <v>4091198</v>
      </c>
      <c r="C44" s="11">
        <v>4091198</v>
      </c>
      <c r="D44" s="11">
        <v>4</v>
      </c>
      <c r="E44" s="12"/>
      <c r="F44" s="13" t="s">
        <v>73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  <c r="O44" s="10">
        <v>0</v>
      </c>
      <c r="P44" s="10">
        <v>0</v>
      </c>
      <c r="Q44" s="1">
        <v>0</v>
      </c>
      <c r="R44" s="1">
        <v>0</v>
      </c>
      <c r="S44" s="1">
        <v>0</v>
      </c>
      <c r="T44" s="1">
        <v>0</v>
      </c>
      <c r="U44" s="1">
        <v>4091198</v>
      </c>
      <c r="V44" s="1" t="s">
        <v>73</v>
      </c>
      <c r="W44" s="1" t="s">
        <v>33</v>
      </c>
      <c r="X44" t="s">
        <v>34</v>
      </c>
      <c r="Y44" s="33">
        <v>0</v>
      </c>
      <c r="Z44" s="33">
        <v>0</v>
      </c>
      <c r="AA44" s="15">
        <f t="shared" si="0"/>
        <v>0</v>
      </c>
      <c r="AC44" s="15">
        <f t="shared" si="1"/>
        <v>0</v>
      </c>
      <c r="AD44" s="15">
        <f t="shared" si="2"/>
        <v>0</v>
      </c>
      <c r="AE44">
        <v>5</v>
      </c>
    </row>
    <row r="45" spans="1:31" x14ac:dyDescent="0.2">
      <c r="A45" s="14">
        <v>1</v>
      </c>
      <c r="B45" s="11">
        <v>4091199</v>
      </c>
      <c r="C45" s="11">
        <v>4091199</v>
      </c>
      <c r="D45" s="11">
        <v>4</v>
      </c>
      <c r="E45" s="12"/>
      <c r="F45" s="13" t="s">
        <v>74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  <c r="O45" s="10">
        <v>0</v>
      </c>
      <c r="P45" s="10">
        <v>0</v>
      </c>
      <c r="Q45" s="1">
        <v>0</v>
      </c>
      <c r="R45" s="1">
        <v>0</v>
      </c>
      <c r="S45" s="1">
        <v>0</v>
      </c>
      <c r="T45" s="1">
        <v>0</v>
      </c>
      <c r="U45" s="1">
        <v>4091199</v>
      </c>
      <c r="V45" s="1" t="s">
        <v>74</v>
      </c>
      <c r="W45" s="1" t="s">
        <v>33</v>
      </c>
      <c r="X45" t="s">
        <v>34</v>
      </c>
      <c r="Y45" s="33">
        <v>0</v>
      </c>
      <c r="Z45" s="33">
        <v>0</v>
      </c>
      <c r="AA45" s="15">
        <f t="shared" si="0"/>
        <v>0</v>
      </c>
      <c r="AC45" s="15">
        <f t="shared" si="1"/>
        <v>0</v>
      </c>
      <c r="AD45" s="15">
        <f t="shared" si="2"/>
        <v>0</v>
      </c>
      <c r="AE45">
        <v>5</v>
      </c>
    </row>
    <row r="46" spans="1:31" x14ac:dyDescent="0.2">
      <c r="A46" s="14">
        <v>1</v>
      </c>
      <c r="B46" s="11">
        <v>4091205</v>
      </c>
      <c r="C46" s="11">
        <v>4091205</v>
      </c>
      <c r="D46" s="11">
        <v>4</v>
      </c>
      <c r="E46" s="12"/>
      <c r="F46" s="13" t="s">
        <v>75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">
        <v>0</v>
      </c>
      <c r="R46" s="1">
        <v>0</v>
      </c>
      <c r="S46" s="1">
        <v>0</v>
      </c>
      <c r="T46" s="1">
        <v>0</v>
      </c>
      <c r="U46" s="1">
        <v>4091205</v>
      </c>
      <c r="V46" s="1" t="s">
        <v>75</v>
      </c>
      <c r="W46" s="1" t="s">
        <v>33</v>
      </c>
      <c r="X46" t="s">
        <v>34</v>
      </c>
      <c r="Y46" s="33">
        <v>0</v>
      </c>
      <c r="Z46" s="33">
        <v>0</v>
      </c>
      <c r="AA46" s="15">
        <f t="shared" si="0"/>
        <v>0</v>
      </c>
      <c r="AC46" s="15">
        <f t="shared" si="1"/>
        <v>0</v>
      </c>
      <c r="AD46" s="15">
        <f t="shared" si="2"/>
        <v>0</v>
      </c>
      <c r="AE46">
        <v>5</v>
      </c>
    </row>
    <row r="47" spans="1:31" x14ac:dyDescent="0.2">
      <c r="A47" s="14">
        <v>1</v>
      </c>
      <c r="B47" s="11">
        <v>4091239</v>
      </c>
      <c r="C47" s="11">
        <v>4091239</v>
      </c>
      <c r="D47" s="11">
        <v>4</v>
      </c>
      <c r="E47" s="12"/>
      <c r="F47" s="13" t="s">
        <v>76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  <c r="O47" s="10">
        <v>0</v>
      </c>
      <c r="P47" s="10">
        <v>0</v>
      </c>
      <c r="Q47" s="1">
        <v>0</v>
      </c>
      <c r="R47" s="1">
        <v>0</v>
      </c>
      <c r="S47" s="1">
        <v>0</v>
      </c>
      <c r="T47" s="1">
        <v>0</v>
      </c>
      <c r="U47" s="1">
        <v>4091239</v>
      </c>
      <c r="V47" s="1" t="s">
        <v>76</v>
      </c>
      <c r="W47" s="1" t="s">
        <v>33</v>
      </c>
      <c r="X47" t="s">
        <v>34</v>
      </c>
      <c r="Y47" s="33">
        <v>0</v>
      </c>
      <c r="Z47" s="33">
        <v>0</v>
      </c>
      <c r="AA47" s="15">
        <f t="shared" si="0"/>
        <v>0</v>
      </c>
      <c r="AC47" s="15">
        <f t="shared" si="1"/>
        <v>0</v>
      </c>
      <c r="AD47" s="15">
        <f t="shared" si="2"/>
        <v>0</v>
      </c>
      <c r="AE47">
        <v>5</v>
      </c>
    </row>
    <row r="48" spans="1:31" x14ac:dyDescent="0.2">
      <c r="A48" s="14">
        <v>1</v>
      </c>
      <c r="B48" s="11">
        <v>4091240</v>
      </c>
      <c r="C48" s="11">
        <v>4091240</v>
      </c>
      <c r="D48" s="11">
        <v>4</v>
      </c>
      <c r="E48" s="12"/>
      <c r="F48" s="13" t="s">
        <v>77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  <c r="O48" s="10">
        <v>0</v>
      </c>
      <c r="P48" s="10">
        <v>0</v>
      </c>
      <c r="Q48" s="1">
        <v>0</v>
      </c>
      <c r="R48" s="1">
        <v>0</v>
      </c>
      <c r="S48" s="1">
        <v>0</v>
      </c>
      <c r="T48" s="1">
        <v>0</v>
      </c>
      <c r="U48" s="1">
        <v>4091240</v>
      </c>
      <c r="V48" s="1" t="s">
        <v>77</v>
      </c>
      <c r="W48" s="1" t="s">
        <v>33</v>
      </c>
      <c r="X48" t="s">
        <v>34</v>
      </c>
      <c r="Y48" s="33">
        <v>0</v>
      </c>
      <c r="Z48" s="33">
        <v>0</v>
      </c>
      <c r="AA48" s="15">
        <f t="shared" si="0"/>
        <v>0</v>
      </c>
      <c r="AC48" s="15">
        <f t="shared" si="1"/>
        <v>0</v>
      </c>
      <c r="AD48" s="15">
        <f t="shared" si="2"/>
        <v>0</v>
      </c>
      <c r="AE48">
        <v>5</v>
      </c>
    </row>
    <row r="49" spans="1:31" x14ac:dyDescent="0.2">
      <c r="A49" s="14">
        <v>1</v>
      </c>
      <c r="B49" s="11">
        <v>4091241</v>
      </c>
      <c r="C49" s="11">
        <v>4091241</v>
      </c>
      <c r="D49" s="11">
        <v>4</v>
      </c>
      <c r="E49" s="12"/>
      <c r="F49" s="13" t="s">
        <v>78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  <c r="O49" s="10">
        <v>0</v>
      </c>
      <c r="P49" s="10">
        <v>0</v>
      </c>
      <c r="Q49" s="1">
        <v>0</v>
      </c>
      <c r="R49" s="1">
        <v>0</v>
      </c>
      <c r="S49" s="1">
        <v>0</v>
      </c>
      <c r="T49" s="1">
        <v>0</v>
      </c>
      <c r="U49" s="1">
        <v>4091241</v>
      </c>
      <c r="V49" s="1" t="s">
        <v>78</v>
      </c>
      <c r="W49" s="1" t="s">
        <v>33</v>
      </c>
      <c r="X49" t="s">
        <v>34</v>
      </c>
      <c r="Y49" s="33">
        <v>0</v>
      </c>
      <c r="Z49" s="33">
        <v>0</v>
      </c>
      <c r="AA49" s="15">
        <f t="shared" si="0"/>
        <v>0</v>
      </c>
      <c r="AC49" s="15">
        <f t="shared" si="1"/>
        <v>0</v>
      </c>
      <c r="AD49" s="15">
        <f t="shared" si="2"/>
        <v>0</v>
      </c>
      <c r="AE49">
        <v>5</v>
      </c>
    </row>
    <row r="50" spans="1:31" x14ac:dyDescent="0.2">
      <c r="A50" s="14">
        <v>1</v>
      </c>
      <c r="B50" s="11">
        <v>4091242</v>
      </c>
      <c r="C50" s="11">
        <v>4091242</v>
      </c>
      <c r="D50" s="11">
        <v>4</v>
      </c>
      <c r="E50" s="12"/>
      <c r="F50" s="13" t="s">
        <v>79</v>
      </c>
      <c r="G50" s="10">
        <v>0</v>
      </c>
      <c r="H50" s="10">
        <v>0</v>
      </c>
      <c r="I50" s="10">
        <v>0</v>
      </c>
      <c r="J50" s="10">
        <v>0</v>
      </c>
      <c r="K50" s="10">
        <v>0</v>
      </c>
      <c r="L50" s="10">
        <v>0</v>
      </c>
      <c r="M50" s="10">
        <v>0</v>
      </c>
      <c r="N50" s="10">
        <v>0</v>
      </c>
      <c r="O50" s="10">
        <v>0</v>
      </c>
      <c r="P50" s="10">
        <v>0</v>
      </c>
      <c r="Q50" s="1">
        <v>0</v>
      </c>
      <c r="R50" s="1">
        <v>0</v>
      </c>
      <c r="S50" s="1">
        <v>0</v>
      </c>
      <c r="T50" s="1">
        <v>0</v>
      </c>
      <c r="U50" s="1">
        <v>4091242</v>
      </c>
      <c r="V50" s="1" t="s">
        <v>79</v>
      </c>
      <c r="W50" s="1" t="s">
        <v>33</v>
      </c>
      <c r="X50" t="s">
        <v>34</v>
      </c>
      <c r="Y50" s="33">
        <v>0</v>
      </c>
      <c r="Z50" s="33">
        <v>0</v>
      </c>
      <c r="AA50" s="15">
        <f t="shared" si="0"/>
        <v>0</v>
      </c>
      <c r="AC50" s="15">
        <f t="shared" si="1"/>
        <v>0</v>
      </c>
      <c r="AD50" s="15">
        <f t="shared" si="2"/>
        <v>0</v>
      </c>
      <c r="AE50">
        <v>5</v>
      </c>
    </row>
    <row r="51" spans="1:31" x14ac:dyDescent="0.2">
      <c r="A51" s="14">
        <v>1</v>
      </c>
      <c r="B51" s="11">
        <v>4091243</v>
      </c>
      <c r="C51" s="11">
        <v>4091243</v>
      </c>
      <c r="D51" s="11">
        <v>4</v>
      </c>
      <c r="E51" s="12"/>
      <c r="F51" s="13" t="s">
        <v>80</v>
      </c>
      <c r="G51" s="10">
        <v>0</v>
      </c>
      <c r="H51" s="10">
        <v>0</v>
      </c>
      <c r="I51" s="10">
        <v>0</v>
      </c>
      <c r="J51" s="10">
        <v>0</v>
      </c>
      <c r="K51" s="10">
        <v>59516.35</v>
      </c>
      <c r="L51" s="10">
        <v>0</v>
      </c>
      <c r="M51" s="10">
        <v>59516.35</v>
      </c>
      <c r="N51" s="10">
        <v>0</v>
      </c>
      <c r="O51" s="10">
        <v>59516.35</v>
      </c>
      <c r="P51" s="10">
        <v>0</v>
      </c>
      <c r="Q51" s="1">
        <v>0</v>
      </c>
      <c r="R51" s="1">
        <v>0</v>
      </c>
      <c r="S51" s="1">
        <v>59516.35</v>
      </c>
      <c r="T51" s="1">
        <v>0</v>
      </c>
      <c r="U51" s="1">
        <v>4091243</v>
      </c>
      <c r="V51" s="1" t="s">
        <v>80</v>
      </c>
      <c r="W51" s="1" t="s">
        <v>33</v>
      </c>
      <c r="X51" t="s">
        <v>34</v>
      </c>
      <c r="Y51" s="33">
        <v>59516.35</v>
      </c>
      <c r="Z51" s="33">
        <v>0</v>
      </c>
      <c r="AA51" s="15">
        <f t="shared" si="0"/>
        <v>0</v>
      </c>
      <c r="AC51" s="15">
        <f t="shared" si="1"/>
        <v>0</v>
      </c>
      <c r="AD51" s="15">
        <f t="shared" si="2"/>
        <v>59516.35</v>
      </c>
      <c r="AE51">
        <v>5</v>
      </c>
    </row>
    <row r="52" spans="1:31" x14ac:dyDescent="0.2">
      <c r="A52" s="14">
        <v>1</v>
      </c>
      <c r="B52" s="11">
        <v>4091244</v>
      </c>
      <c r="C52" s="11">
        <v>4091244</v>
      </c>
      <c r="D52" s="11">
        <v>4</v>
      </c>
      <c r="E52" s="12"/>
      <c r="F52" s="13" t="s">
        <v>81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>
        <v>0</v>
      </c>
      <c r="N52" s="10">
        <v>0</v>
      </c>
      <c r="O52" s="10">
        <v>0</v>
      </c>
      <c r="P52" s="10">
        <v>0</v>
      </c>
      <c r="Q52" s="1">
        <v>0</v>
      </c>
      <c r="R52" s="1">
        <v>0</v>
      </c>
      <c r="S52" s="1">
        <v>0</v>
      </c>
      <c r="T52" s="1">
        <v>0</v>
      </c>
      <c r="U52" s="1">
        <v>4091244</v>
      </c>
      <c r="V52" s="1" t="s">
        <v>81</v>
      </c>
      <c r="W52" s="1" t="s">
        <v>33</v>
      </c>
      <c r="X52" t="s">
        <v>34</v>
      </c>
      <c r="Y52" s="33">
        <v>0</v>
      </c>
      <c r="Z52" s="33">
        <v>0</v>
      </c>
      <c r="AA52" s="15">
        <f t="shared" si="0"/>
        <v>0</v>
      </c>
      <c r="AC52" s="15">
        <f t="shared" si="1"/>
        <v>0</v>
      </c>
      <c r="AD52" s="15">
        <f t="shared" si="2"/>
        <v>0</v>
      </c>
      <c r="AE52">
        <v>5</v>
      </c>
    </row>
    <row r="53" spans="1:31" x14ac:dyDescent="0.2">
      <c r="A53" s="14">
        <v>1</v>
      </c>
      <c r="B53" s="11">
        <v>409167</v>
      </c>
      <c r="C53" s="11">
        <v>409167</v>
      </c>
      <c r="D53" s="11">
        <v>4</v>
      </c>
      <c r="E53" s="12"/>
      <c r="F53" s="13" t="s">
        <v>82</v>
      </c>
      <c r="G53" s="10">
        <v>0</v>
      </c>
      <c r="H53" s="10">
        <v>0</v>
      </c>
      <c r="I53" s="10">
        <v>0</v>
      </c>
      <c r="J53" s="10">
        <v>0</v>
      </c>
      <c r="K53" s="10">
        <v>0</v>
      </c>
      <c r="L53" s="10">
        <v>0</v>
      </c>
      <c r="M53" s="10">
        <v>0</v>
      </c>
      <c r="N53" s="10">
        <v>0</v>
      </c>
      <c r="O53" s="10">
        <v>0</v>
      </c>
      <c r="P53" s="10">
        <v>0</v>
      </c>
      <c r="Q53" s="1">
        <v>0</v>
      </c>
      <c r="R53" s="1">
        <v>0</v>
      </c>
      <c r="S53" s="1">
        <v>0</v>
      </c>
      <c r="T53" s="1">
        <v>0</v>
      </c>
      <c r="U53" s="1">
        <v>409167</v>
      </c>
      <c r="V53" s="1" t="s">
        <v>82</v>
      </c>
      <c r="W53" s="1" t="s">
        <v>33</v>
      </c>
      <c r="X53" t="s">
        <v>34</v>
      </c>
      <c r="Y53" s="33">
        <v>0</v>
      </c>
      <c r="Z53" s="33">
        <v>0</v>
      </c>
      <c r="AA53" s="15">
        <f t="shared" si="0"/>
        <v>0</v>
      </c>
      <c r="AC53" s="15">
        <f t="shared" si="1"/>
        <v>0</v>
      </c>
      <c r="AD53" s="15">
        <f t="shared" si="2"/>
        <v>0</v>
      </c>
      <c r="AE53">
        <v>5</v>
      </c>
    </row>
    <row r="54" spans="1:31" x14ac:dyDescent="0.2">
      <c r="A54" s="14">
        <v>1</v>
      </c>
      <c r="B54" s="11">
        <v>4092150</v>
      </c>
      <c r="C54" s="11">
        <v>4092150</v>
      </c>
      <c r="D54" s="11">
        <v>4</v>
      </c>
      <c r="E54" s="12"/>
      <c r="F54" s="13" t="s">
        <v>83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">
        <v>0</v>
      </c>
      <c r="R54" s="1">
        <v>0</v>
      </c>
      <c r="S54" s="1">
        <v>0</v>
      </c>
      <c r="T54" s="1">
        <v>0</v>
      </c>
      <c r="U54" s="1">
        <v>4092150</v>
      </c>
      <c r="V54" s="1" t="s">
        <v>83</v>
      </c>
      <c r="W54" s="1" t="s">
        <v>33</v>
      </c>
      <c r="X54" t="s">
        <v>34</v>
      </c>
      <c r="Y54" s="16">
        <v>0</v>
      </c>
      <c r="Z54" s="16">
        <v>0</v>
      </c>
      <c r="AA54" s="15">
        <f t="shared" si="0"/>
        <v>0</v>
      </c>
      <c r="AC54" s="15">
        <f t="shared" si="1"/>
        <v>0</v>
      </c>
      <c r="AD54" s="15">
        <f t="shared" si="2"/>
        <v>0</v>
      </c>
      <c r="AE54" s="18">
        <v>6</v>
      </c>
    </row>
    <row r="55" spans="1:31" x14ac:dyDescent="0.2">
      <c r="A55" s="14">
        <v>1</v>
      </c>
      <c r="B55" s="11">
        <v>4092162</v>
      </c>
      <c r="C55" s="11">
        <v>4092162</v>
      </c>
      <c r="D55" s="11">
        <v>4</v>
      </c>
      <c r="E55" s="12"/>
      <c r="F55" s="13" t="s">
        <v>84</v>
      </c>
      <c r="G55" s="10">
        <v>0</v>
      </c>
      <c r="H55" s="10">
        <v>0</v>
      </c>
      <c r="I55" s="10">
        <v>0</v>
      </c>
      <c r="J55" s="10">
        <v>0</v>
      </c>
      <c r="K55" s="10">
        <v>2197.52</v>
      </c>
      <c r="L55" s="10">
        <v>0</v>
      </c>
      <c r="M55" s="10">
        <v>2197.52</v>
      </c>
      <c r="N55" s="10">
        <v>0</v>
      </c>
      <c r="O55" s="10">
        <v>2197.52</v>
      </c>
      <c r="P55" s="10">
        <v>0</v>
      </c>
      <c r="Q55" s="1">
        <v>0</v>
      </c>
      <c r="R55" s="1">
        <v>0</v>
      </c>
      <c r="S55" s="1">
        <v>2197.52</v>
      </c>
      <c r="T55" s="1">
        <v>0</v>
      </c>
      <c r="U55" s="1">
        <v>4092162</v>
      </c>
      <c r="V55" s="1" t="s">
        <v>84</v>
      </c>
      <c r="W55" s="1" t="s">
        <v>33</v>
      </c>
      <c r="X55" t="s">
        <v>34</v>
      </c>
      <c r="Y55" s="16">
        <v>2197.52</v>
      </c>
      <c r="Z55" s="16">
        <v>0</v>
      </c>
      <c r="AA55" s="15">
        <f t="shared" si="0"/>
        <v>0</v>
      </c>
      <c r="AC55" s="15">
        <f t="shared" si="1"/>
        <v>0</v>
      </c>
      <c r="AD55" s="15">
        <f t="shared" si="2"/>
        <v>2197.52</v>
      </c>
      <c r="AE55" s="18">
        <v>6</v>
      </c>
    </row>
    <row r="56" spans="1:31" x14ac:dyDescent="0.2">
      <c r="A56" s="14">
        <v>1</v>
      </c>
      <c r="B56" s="11">
        <v>409294</v>
      </c>
      <c r="C56" s="11">
        <v>409294</v>
      </c>
      <c r="D56" s="11">
        <v>4</v>
      </c>
      <c r="E56" s="12"/>
      <c r="F56" s="13" t="s">
        <v>85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  <c r="O56" s="10">
        <v>0</v>
      </c>
      <c r="P56" s="10">
        <v>0</v>
      </c>
      <c r="Q56" s="1">
        <v>0</v>
      </c>
      <c r="R56" s="1">
        <v>0</v>
      </c>
      <c r="S56" s="1">
        <v>0</v>
      </c>
      <c r="T56" s="1">
        <v>0</v>
      </c>
      <c r="U56" s="1">
        <v>409294</v>
      </c>
      <c r="V56" s="1" t="s">
        <v>85</v>
      </c>
      <c r="W56" s="1" t="s">
        <v>33</v>
      </c>
      <c r="X56" t="s">
        <v>34</v>
      </c>
      <c r="Y56" s="16">
        <v>0</v>
      </c>
      <c r="Z56" s="16">
        <v>0</v>
      </c>
      <c r="AA56" s="15">
        <f t="shared" si="0"/>
        <v>0</v>
      </c>
      <c r="AC56" s="15">
        <f t="shared" si="1"/>
        <v>0</v>
      </c>
      <c r="AD56" s="15">
        <f t="shared" si="2"/>
        <v>0</v>
      </c>
      <c r="AE56" s="18">
        <v>6</v>
      </c>
    </row>
    <row r="57" spans="1:31" x14ac:dyDescent="0.2">
      <c r="A57" s="14">
        <v>1</v>
      </c>
      <c r="B57" s="11">
        <v>4092995</v>
      </c>
      <c r="C57" s="11">
        <v>4092995</v>
      </c>
      <c r="D57" s="11">
        <v>4</v>
      </c>
      <c r="E57" s="12"/>
      <c r="F57" s="13" t="s">
        <v>86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  <c r="O57" s="10">
        <v>0</v>
      </c>
      <c r="P57" s="10">
        <v>0</v>
      </c>
      <c r="Q57" s="1">
        <v>0</v>
      </c>
      <c r="R57" s="1">
        <v>0</v>
      </c>
      <c r="S57" s="1">
        <v>0</v>
      </c>
      <c r="T57" s="1">
        <v>0</v>
      </c>
      <c r="U57" s="1">
        <v>4092995</v>
      </c>
      <c r="V57" s="1" t="s">
        <v>86</v>
      </c>
      <c r="W57" s="1" t="s">
        <v>33</v>
      </c>
      <c r="X57" t="s">
        <v>34</v>
      </c>
      <c r="Y57" s="16">
        <v>0</v>
      </c>
      <c r="Z57" s="16">
        <v>0</v>
      </c>
      <c r="AA57" s="15">
        <f t="shared" si="0"/>
        <v>0</v>
      </c>
      <c r="AC57" s="15">
        <f t="shared" si="1"/>
        <v>0</v>
      </c>
      <c r="AD57" s="15">
        <f t="shared" si="2"/>
        <v>0</v>
      </c>
      <c r="AE57" s="18">
        <v>6</v>
      </c>
    </row>
    <row r="58" spans="1:31" x14ac:dyDescent="0.2">
      <c r="A58" s="14">
        <v>1</v>
      </c>
      <c r="B58" s="11">
        <v>4092996</v>
      </c>
      <c r="C58" s="11">
        <v>4092996</v>
      </c>
      <c r="D58" s="11">
        <v>4</v>
      </c>
      <c r="E58" s="12"/>
      <c r="F58" s="13" t="s">
        <v>87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  <c r="O58" s="10">
        <v>0</v>
      </c>
      <c r="P58" s="10">
        <v>0</v>
      </c>
      <c r="Q58" s="1">
        <v>0</v>
      </c>
      <c r="R58" s="1">
        <v>0</v>
      </c>
      <c r="S58" s="1">
        <v>0</v>
      </c>
      <c r="T58" s="1">
        <v>0</v>
      </c>
      <c r="U58" s="1">
        <v>4092996</v>
      </c>
      <c r="V58" s="1" t="s">
        <v>87</v>
      </c>
      <c r="W58" s="1" t="s">
        <v>33</v>
      </c>
      <c r="X58" t="s">
        <v>34</v>
      </c>
      <c r="Y58" s="16">
        <v>0</v>
      </c>
      <c r="Z58" s="16">
        <v>0</v>
      </c>
      <c r="AA58" s="15">
        <f t="shared" si="0"/>
        <v>0</v>
      </c>
      <c r="AC58" s="15">
        <f t="shared" si="1"/>
        <v>0</v>
      </c>
      <c r="AD58" s="15">
        <f t="shared" si="2"/>
        <v>0</v>
      </c>
      <c r="AE58" s="18">
        <v>6</v>
      </c>
    </row>
    <row r="59" spans="1:31" x14ac:dyDescent="0.2">
      <c r="A59" s="14">
        <v>1</v>
      </c>
      <c r="B59" s="11">
        <v>4092997</v>
      </c>
      <c r="C59" s="11">
        <v>4092997</v>
      </c>
      <c r="D59" s="11">
        <v>4</v>
      </c>
      <c r="E59" s="12"/>
      <c r="F59" s="13" t="s">
        <v>88</v>
      </c>
      <c r="G59" s="10">
        <v>0</v>
      </c>
      <c r="H59" s="10">
        <v>0</v>
      </c>
      <c r="I59" s="10">
        <v>0</v>
      </c>
      <c r="J59" s="10">
        <v>0</v>
      </c>
      <c r="K59" s="10">
        <v>0</v>
      </c>
      <c r="L59" s="10">
        <v>0</v>
      </c>
      <c r="M59" s="10">
        <v>0</v>
      </c>
      <c r="N59" s="10">
        <v>0</v>
      </c>
      <c r="O59" s="10">
        <v>0</v>
      </c>
      <c r="P59" s="10">
        <v>0</v>
      </c>
      <c r="Q59" s="1">
        <v>0</v>
      </c>
      <c r="R59" s="1">
        <v>0</v>
      </c>
      <c r="S59" s="1">
        <v>0</v>
      </c>
      <c r="T59" s="1">
        <v>0</v>
      </c>
      <c r="U59" s="1">
        <v>4092997</v>
      </c>
      <c r="V59" s="1" t="s">
        <v>88</v>
      </c>
      <c r="W59" s="1" t="s">
        <v>33</v>
      </c>
      <c r="X59" t="s">
        <v>34</v>
      </c>
      <c r="Y59" s="16">
        <v>0</v>
      </c>
      <c r="Z59" s="16">
        <v>0</v>
      </c>
      <c r="AA59" s="15">
        <f t="shared" si="0"/>
        <v>0</v>
      </c>
      <c r="AC59" s="15">
        <f t="shared" si="1"/>
        <v>0</v>
      </c>
      <c r="AD59" s="15">
        <f t="shared" si="2"/>
        <v>0</v>
      </c>
      <c r="AE59" s="18">
        <v>6</v>
      </c>
    </row>
    <row r="60" spans="1:31" x14ac:dyDescent="0.2">
      <c r="A60" s="14">
        <v>1</v>
      </c>
      <c r="B60" s="11">
        <v>409304</v>
      </c>
      <c r="C60" s="11">
        <v>409304</v>
      </c>
      <c r="D60" s="11">
        <v>4</v>
      </c>
      <c r="E60" s="12"/>
      <c r="F60" s="13" t="s">
        <v>84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  <c r="O60" s="10">
        <v>0</v>
      </c>
      <c r="P60" s="10">
        <v>0</v>
      </c>
      <c r="Q60" s="1">
        <v>0</v>
      </c>
      <c r="R60" s="1">
        <v>0</v>
      </c>
      <c r="S60" s="1">
        <v>0</v>
      </c>
      <c r="T60" s="1">
        <v>0</v>
      </c>
      <c r="U60" s="1">
        <v>409304</v>
      </c>
      <c r="V60" s="1" t="s">
        <v>84</v>
      </c>
      <c r="W60" s="1" t="s">
        <v>33</v>
      </c>
      <c r="X60" t="s">
        <v>34</v>
      </c>
      <c r="Y60" s="16">
        <v>0</v>
      </c>
      <c r="Z60" s="16">
        <v>0</v>
      </c>
      <c r="AA60" s="15">
        <f t="shared" si="0"/>
        <v>0</v>
      </c>
      <c r="AC60" s="15">
        <f t="shared" si="1"/>
        <v>0</v>
      </c>
      <c r="AD60" s="15">
        <f t="shared" si="2"/>
        <v>0</v>
      </c>
      <c r="AE60">
        <v>2</v>
      </c>
    </row>
    <row r="61" spans="1:31" x14ac:dyDescent="0.2">
      <c r="A61" s="14">
        <v>1</v>
      </c>
      <c r="B61" s="11">
        <v>411100</v>
      </c>
      <c r="C61" s="11">
        <v>411100</v>
      </c>
      <c r="D61" s="11">
        <v>4</v>
      </c>
      <c r="E61" s="12"/>
      <c r="F61" s="13" t="s">
        <v>89</v>
      </c>
      <c r="G61" s="10">
        <v>0</v>
      </c>
      <c r="H61" s="10">
        <v>0</v>
      </c>
      <c r="I61" s="10">
        <v>0</v>
      </c>
      <c r="J61" s="10">
        <v>0</v>
      </c>
      <c r="K61" s="10">
        <v>53514441.490000002</v>
      </c>
      <c r="L61" s="10">
        <v>52111599.030000001</v>
      </c>
      <c r="M61" s="10">
        <v>53514441.490000002</v>
      </c>
      <c r="N61" s="10">
        <v>52111599.030000001</v>
      </c>
      <c r="O61" s="10">
        <v>1402842.46</v>
      </c>
      <c r="P61" s="10">
        <v>0</v>
      </c>
      <c r="Q61" s="1">
        <v>0</v>
      </c>
      <c r="R61" s="1">
        <v>0</v>
      </c>
      <c r="S61" s="1">
        <v>1402842.46</v>
      </c>
      <c r="T61" s="1">
        <v>0</v>
      </c>
      <c r="U61" s="1">
        <v>411100</v>
      </c>
      <c r="V61" s="1" t="s">
        <v>89</v>
      </c>
      <c r="W61" s="1" t="s">
        <v>33</v>
      </c>
      <c r="X61" t="s">
        <v>34</v>
      </c>
      <c r="Y61" s="16">
        <v>1402842.46</v>
      </c>
      <c r="Z61" s="16">
        <v>0</v>
      </c>
      <c r="AA61" s="15">
        <f t="shared" si="0"/>
        <v>0</v>
      </c>
      <c r="AC61" s="15">
        <f t="shared" si="1"/>
        <v>0</v>
      </c>
      <c r="AD61" s="15">
        <f t="shared" si="2"/>
        <v>1402842.46</v>
      </c>
      <c r="AE61">
        <v>6</v>
      </c>
    </row>
    <row r="62" spans="1:31" x14ac:dyDescent="0.2">
      <c r="A62" s="14">
        <v>1</v>
      </c>
      <c r="B62" s="11">
        <v>418000</v>
      </c>
      <c r="C62" s="11">
        <v>418000</v>
      </c>
      <c r="D62" s="11">
        <v>4</v>
      </c>
      <c r="E62" s="12"/>
      <c r="F62" s="13" t="s">
        <v>90</v>
      </c>
      <c r="G62" s="10">
        <v>0</v>
      </c>
      <c r="H62" s="10">
        <v>0</v>
      </c>
      <c r="I62" s="10">
        <v>0</v>
      </c>
      <c r="J62" s="10">
        <v>0</v>
      </c>
      <c r="K62" s="10">
        <v>757174.8</v>
      </c>
      <c r="L62" s="10">
        <v>677727.38</v>
      </c>
      <c r="M62" s="10">
        <v>757174.8</v>
      </c>
      <c r="N62" s="10">
        <v>677727.38</v>
      </c>
      <c r="O62" s="10">
        <v>79447.42</v>
      </c>
      <c r="P62" s="10">
        <v>0</v>
      </c>
      <c r="Q62" s="1">
        <v>0</v>
      </c>
      <c r="R62" s="1">
        <v>0</v>
      </c>
      <c r="S62" s="1">
        <v>79447.42</v>
      </c>
      <c r="T62" s="1">
        <v>0</v>
      </c>
      <c r="U62" s="1">
        <v>418000</v>
      </c>
      <c r="V62" s="1" t="s">
        <v>90</v>
      </c>
      <c r="W62" s="1" t="s">
        <v>33</v>
      </c>
      <c r="X62" t="s">
        <v>34</v>
      </c>
      <c r="Y62" s="16">
        <v>79447.42</v>
      </c>
      <c r="Z62" s="16">
        <v>0</v>
      </c>
      <c r="AA62" s="15">
        <f t="shared" si="0"/>
        <v>0</v>
      </c>
      <c r="AC62" s="15">
        <f t="shared" si="1"/>
        <v>0</v>
      </c>
      <c r="AD62" s="15">
        <f t="shared" si="2"/>
        <v>79447.42</v>
      </c>
      <c r="AE62">
        <v>6</v>
      </c>
    </row>
    <row r="63" spans="1:31" x14ac:dyDescent="0.2">
      <c r="A63" s="14">
        <v>1</v>
      </c>
      <c r="B63" s="11">
        <v>419968</v>
      </c>
      <c r="C63" s="11">
        <v>419968</v>
      </c>
      <c r="D63" s="11">
        <v>4</v>
      </c>
      <c r="E63" s="12"/>
      <c r="F63" s="13" t="s">
        <v>91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">
        <v>0</v>
      </c>
      <c r="R63" s="1">
        <v>0</v>
      </c>
      <c r="S63" s="1">
        <v>0</v>
      </c>
      <c r="T63" s="1">
        <v>0</v>
      </c>
      <c r="U63" s="1">
        <v>419968</v>
      </c>
      <c r="V63" s="1" t="s">
        <v>91</v>
      </c>
      <c r="W63" s="1" t="s">
        <v>33</v>
      </c>
      <c r="X63" t="s">
        <v>34</v>
      </c>
      <c r="Y63" s="16">
        <v>0</v>
      </c>
      <c r="Z63" s="16">
        <v>0</v>
      </c>
      <c r="AA63" s="15">
        <f t="shared" si="0"/>
        <v>0</v>
      </c>
      <c r="AC63" s="15">
        <f t="shared" si="1"/>
        <v>0</v>
      </c>
      <c r="AD63" s="15">
        <f t="shared" si="2"/>
        <v>0</v>
      </c>
      <c r="AE63">
        <v>15</v>
      </c>
    </row>
    <row r="64" spans="1:31" x14ac:dyDescent="0.2">
      <c r="A64" s="14">
        <v>1</v>
      </c>
      <c r="B64" s="11">
        <v>419997</v>
      </c>
      <c r="C64" s="11">
        <v>419997</v>
      </c>
      <c r="D64" s="11">
        <v>4</v>
      </c>
      <c r="E64" s="12"/>
      <c r="F64" s="13" t="s">
        <v>92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73822.240000000005</v>
      </c>
      <c r="M64" s="10">
        <v>0</v>
      </c>
      <c r="N64" s="10">
        <v>73822.240000000005</v>
      </c>
      <c r="O64" s="10">
        <v>0</v>
      </c>
      <c r="P64" s="10">
        <v>73822.240000000005</v>
      </c>
      <c r="Q64" s="1">
        <v>0</v>
      </c>
      <c r="R64" s="1">
        <v>0</v>
      </c>
      <c r="S64" s="1">
        <v>0</v>
      </c>
      <c r="T64" s="1">
        <v>73822.240000000005</v>
      </c>
      <c r="U64" s="1">
        <v>419997</v>
      </c>
      <c r="V64" s="1" t="s">
        <v>92</v>
      </c>
      <c r="W64" s="1" t="s">
        <v>33</v>
      </c>
      <c r="X64" t="s">
        <v>34</v>
      </c>
      <c r="Y64" s="16">
        <v>0</v>
      </c>
      <c r="Z64" s="16">
        <v>73822.240000000005</v>
      </c>
      <c r="AA64" s="15">
        <f t="shared" si="0"/>
        <v>0</v>
      </c>
      <c r="AC64" s="15">
        <f t="shared" si="1"/>
        <v>0</v>
      </c>
      <c r="AD64" s="15">
        <f t="shared" si="2"/>
        <v>-73822.240000000005</v>
      </c>
      <c r="AE64">
        <v>15</v>
      </c>
    </row>
    <row r="65" spans="1:31" x14ac:dyDescent="0.2">
      <c r="A65" s="14">
        <v>1</v>
      </c>
      <c r="B65" s="11">
        <v>421000</v>
      </c>
      <c r="C65" s="11">
        <v>421000</v>
      </c>
      <c r="D65" s="11">
        <v>4</v>
      </c>
      <c r="E65" s="12"/>
      <c r="F65" s="13" t="s">
        <v>93</v>
      </c>
      <c r="G65" s="10">
        <v>0</v>
      </c>
      <c r="H65" s="10">
        <v>0</v>
      </c>
      <c r="I65" s="10">
        <v>0</v>
      </c>
      <c r="J65" s="10">
        <v>0</v>
      </c>
      <c r="K65" s="10">
        <v>1555035</v>
      </c>
      <c r="L65" s="10">
        <v>1599397</v>
      </c>
      <c r="M65" s="10">
        <v>1555035</v>
      </c>
      <c r="N65" s="10">
        <v>1599397</v>
      </c>
      <c r="O65" s="10">
        <v>0</v>
      </c>
      <c r="P65" s="10">
        <v>44362</v>
      </c>
      <c r="Q65" s="1">
        <v>0</v>
      </c>
      <c r="R65" s="1">
        <v>0</v>
      </c>
      <c r="S65" s="1">
        <v>0</v>
      </c>
      <c r="T65" s="1">
        <v>44362</v>
      </c>
      <c r="U65" s="1">
        <v>421000</v>
      </c>
      <c r="V65" s="1" t="s">
        <v>93</v>
      </c>
      <c r="W65" s="1" t="s">
        <v>33</v>
      </c>
      <c r="X65" t="s">
        <v>34</v>
      </c>
      <c r="Y65" s="16">
        <v>0</v>
      </c>
      <c r="Z65" s="16">
        <v>44362</v>
      </c>
      <c r="AA65" s="15">
        <f t="shared" si="0"/>
        <v>0</v>
      </c>
      <c r="AC65" s="15">
        <f t="shared" si="1"/>
        <v>0</v>
      </c>
      <c r="AD65" s="15">
        <f t="shared" si="2"/>
        <v>-44362</v>
      </c>
      <c r="AE65">
        <v>15</v>
      </c>
    </row>
    <row r="66" spans="1:31" x14ac:dyDescent="0.2">
      <c r="A66" s="14">
        <v>1</v>
      </c>
      <c r="B66" s="11">
        <v>423000</v>
      </c>
      <c r="C66" s="11">
        <v>423000</v>
      </c>
      <c r="D66" s="11">
        <v>4</v>
      </c>
      <c r="E66" s="12"/>
      <c r="F66" s="13" t="s">
        <v>94</v>
      </c>
      <c r="G66" s="10">
        <v>0</v>
      </c>
      <c r="H66" s="10">
        <v>0</v>
      </c>
      <c r="I66" s="10">
        <v>0</v>
      </c>
      <c r="J66" s="10">
        <v>0</v>
      </c>
      <c r="K66" s="10">
        <v>3185</v>
      </c>
      <c r="L66" s="10">
        <v>12735</v>
      </c>
      <c r="M66" s="10">
        <v>3185</v>
      </c>
      <c r="N66" s="10">
        <v>12735</v>
      </c>
      <c r="O66" s="10">
        <v>0</v>
      </c>
      <c r="P66" s="10">
        <v>9550</v>
      </c>
      <c r="Q66" s="1">
        <v>0</v>
      </c>
      <c r="R66" s="1">
        <v>0</v>
      </c>
      <c r="S66" s="1">
        <v>0</v>
      </c>
      <c r="T66" s="1">
        <v>9550</v>
      </c>
      <c r="U66" s="1">
        <v>423000</v>
      </c>
      <c r="V66" s="1" t="s">
        <v>94</v>
      </c>
      <c r="W66" s="1" t="s">
        <v>33</v>
      </c>
      <c r="X66" t="s">
        <v>34</v>
      </c>
      <c r="Y66" s="16">
        <v>0</v>
      </c>
      <c r="Z66" s="16">
        <v>9550</v>
      </c>
      <c r="AA66" s="15">
        <f t="shared" si="0"/>
        <v>0</v>
      </c>
      <c r="AC66" s="15">
        <f t="shared" si="1"/>
        <v>0</v>
      </c>
      <c r="AD66" s="15">
        <f t="shared" si="2"/>
        <v>-9550</v>
      </c>
      <c r="AE66">
        <v>15</v>
      </c>
    </row>
    <row r="67" spans="1:31" x14ac:dyDescent="0.2">
      <c r="A67" s="14">
        <v>1</v>
      </c>
      <c r="B67" s="11">
        <v>425000</v>
      </c>
      <c r="C67" s="11">
        <v>425000</v>
      </c>
      <c r="D67" s="11">
        <v>4</v>
      </c>
      <c r="E67" s="12"/>
      <c r="F67" s="13" t="s">
        <v>95</v>
      </c>
      <c r="G67" s="10">
        <v>0</v>
      </c>
      <c r="H67" s="10">
        <v>0</v>
      </c>
      <c r="I67" s="10">
        <v>0</v>
      </c>
      <c r="J67" s="10">
        <v>0</v>
      </c>
      <c r="K67" s="10">
        <v>333836</v>
      </c>
      <c r="L67" s="10">
        <v>333836</v>
      </c>
      <c r="M67" s="10">
        <v>333836</v>
      </c>
      <c r="N67" s="10">
        <v>333836</v>
      </c>
      <c r="O67" s="10">
        <v>0</v>
      </c>
      <c r="P67" s="10">
        <v>0</v>
      </c>
      <c r="Q67" s="1">
        <v>0</v>
      </c>
      <c r="R67" s="1">
        <v>0</v>
      </c>
      <c r="S67" s="1">
        <v>0</v>
      </c>
      <c r="T67" s="1">
        <v>0</v>
      </c>
      <c r="U67" s="1">
        <v>425000</v>
      </c>
      <c r="V67" s="1" t="s">
        <v>95</v>
      </c>
      <c r="W67" s="1" t="s">
        <v>33</v>
      </c>
      <c r="X67" t="s">
        <v>34</v>
      </c>
      <c r="Y67" s="16">
        <v>0</v>
      </c>
      <c r="Z67" s="16">
        <v>0</v>
      </c>
      <c r="AA67" s="15">
        <f t="shared" si="0"/>
        <v>0</v>
      </c>
      <c r="AC67" s="15">
        <f t="shared" si="1"/>
        <v>0</v>
      </c>
      <c r="AD67" s="15">
        <f t="shared" si="2"/>
        <v>0</v>
      </c>
      <c r="AE67">
        <v>6</v>
      </c>
    </row>
    <row r="68" spans="1:31" x14ac:dyDescent="0.2">
      <c r="A68" s="14">
        <v>1</v>
      </c>
      <c r="B68" s="11">
        <v>427000</v>
      </c>
      <c r="C68" s="11">
        <v>427000</v>
      </c>
      <c r="D68" s="11">
        <v>4</v>
      </c>
      <c r="E68" s="12"/>
      <c r="F68" s="13" t="s">
        <v>96</v>
      </c>
      <c r="G68" s="10">
        <v>0</v>
      </c>
      <c r="H68" s="10">
        <v>0</v>
      </c>
      <c r="I68" s="10">
        <v>0</v>
      </c>
      <c r="J68" s="10">
        <v>0</v>
      </c>
      <c r="K68" s="10">
        <v>785</v>
      </c>
      <c r="L68" s="10">
        <v>785</v>
      </c>
      <c r="M68" s="10">
        <v>785</v>
      </c>
      <c r="N68" s="10">
        <v>785</v>
      </c>
      <c r="O68" s="10">
        <v>0</v>
      </c>
      <c r="P68" s="10">
        <v>0</v>
      </c>
      <c r="Q68" s="1">
        <v>0</v>
      </c>
      <c r="R68" s="1">
        <v>0</v>
      </c>
      <c r="S68" s="1">
        <v>0</v>
      </c>
      <c r="T68" s="1">
        <v>0</v>
      </c>
      <c r="U68" s="1">
        <v>427000</v>
      </c>
      <c r="V68" s="1" t="s">
        <v>96</v>
      </c>
      <c r="W68" s="1" t="s">
        <v>33</v>
      </c>
      <c r="X68" t="s">
        <v>34</v>
      </c>
      <c r="Y68" s="16">
        <v>0</v>
      </c>
      <c r="Z68" s="16">
        <v>0</v>
      </c>
      <c r="AA68" s="15">
        <f t="shared" si="0"/>
        <v>0</v>
      </c>
      <c r="AC68" s="15">
        <f t="shared" si="1"/>
        <v>0</v>
      </c>
      <c r="AD68" s="15">
        <f t="shared" si="2"/>
        <v>0</v>
      </c>
      <c r="AE68">
        <v>15</v>
      </c>
    </row>
    <row r="69" spans="1:31" x14ac:dyDescent="0.2">
      <c r="A69" s="14">
        <v>1</v>
      </c>
      <c r="B69" s="11">
        <v>427032</v>
      </c>
      <c r="C69" s="11">
        <v>427032</v>
      </c>
      <c r="D69" s="11">
        <v>4</v>
      </c>
      <c r="E69" s="12"/>
      <c r="F69" s="13" t="s">
        <v>97</v>
      </c>
      <c r="G69" s="10">
        <v>0</v>
      </c>
      <c r="H69" s="10">
        <v>0</v>
      </c>
      <c r="I69" s="10">
        <v>0</v>
      </c>
      <c r="J69" s="10">
        <v>0</v>
      </c>
      <c r="K69" s="10">
        <v>785</v>
      </c>
      <c r="L69" s="10">
        <v>785</v>
      </c>
      <c r="M69" s="10">
        <v>785</v>
      </c>
      <c r="N69" s="10">
        <v>785</v>
      </c>
      <c r="O69" s="10">
        <v>0</v>
      </c>
      <c r="P69" s="10">
        <v>0</v>
      </c>
      <c r="Q69" s="1">
        <v>0</v>
      </c>
      <c r="R69" s="1">
        <v>0</v>
      </c>
      <c r="S69" s="1">
        <v>0</v>
      </c>
      <c r="T69" s="1">
        <v>0</v>
      </c>
      <c r="U69" s="1">
        <v>427032</v>
      </c>
      <c r="V69" s="1" t="s">
        <v>97</v>
      </c>
      <c r="W69" s="1" t="s">
        <v>33</v>
      </c>
      <c r="X69" t="s">
        <v>34</v>
      </c>
      <c r="Y69" s="16">
        <v>0</v>
      </c>
      <c r="Z69" s="16">
        <v>0</v>
      </c>
      <c r="AA69" s="15">
        <f t="shared" ref="AA69:AA132" si="3">O69-P69-Y69+Z69</f>
        <v>0</v>
      </c>
      <c r="AC69" s="15">
        <f t="shared" si="1"/>
        <v>0</v>
      </c>
      <c r="AD69" s="15">
        <f t="shared" si="2"/>
        <v>0</v>
      </c>
      <c r="AE69">
        <v>15</v>
      </c>
    </row>
    <row r="70" spans="1:31" x14ac:dyDescent="0.2">
      <c r="A70" s="14">
        <v>1</v>
      </c>
      <c r="B70" s="11">
        <v>428200</v>
      </c>
      <c r="C70" s="11">
        <v>428200</v>
      </c>
      <c r="D70" s="11">
        <v>4</v>
      </c>
      <c r="E70" s="12"/>
      <c r="F70" s="13" t="s">
        <v>98</v>
      </c>
      <c r="G70" s="10">
        <v>0</v>
      </c>
      <c r="H70" s="10">
        <v>0</v>
      </c>
      <c r="I70" s="10">
        <v>0</v>
      </c>
      <c r="J70" s="10">
        <v>0</v>
      </c>
      <c r="K70" s="10">
        <v>1700</v>
      </c>
      <c r="L70" s="10">
        <v>1700</v>
      </c>
      <c r="M70" s="10">
        <v>1700</v>
      </c>
      <c r="N70" s="10">
        <v>1700</v>
      </c>
      <c r="O70" s="10">
        <v>0</v>
      </c>
      <c r="P70" s="10">
        <v>0</v>
      </c>
      <c r="Q70" s="1">
        <v>0</v>
      </c>
      <c r="R70" s="1">
        <v>0</v>
      </c>
      <c r="S70" s="1">
        <v>0</v>
      </c>
      <c r="T70" s="1">
        <v>0</v>
      </c>
      <c r="U70" s="1">
        <v>428200</v>
      </c>
      <c r="V70" s="1" t="s">
        <v>98</v>
      </c>
      <c r="W70" s="1" t="s">
        <v>33</v>
      </c>
      <c r="X70" t="s">
        <v>34</v>
      </c>
      <c r="Y70" s="16">
        <v>0</v>
      </c>
      <c r="Z70" s="16">
        <v>0</v>
      </c>
      <c r="AA70" s="15">
        <f t="shared" si="3"/>
        <v>0</v>
      </c>
      <c r="AC70" s="15">
        <f t="shared" ref="AC70:AC133" si="4">G70-H70</f>
        <v>0</v>
      </c>
      <c r="AD70" s="15">
        <f t="shared" ref="AD70:AD133" si="5">O70-P70</f>
        <v>0</v>
      </c>
      <c r="AE70">
        <v>6</v>
      </c>
    </row>
    <row r="71" spans="1:31" x14ac:dyDescent="0.2">
      <c r="A71" s="14">
        <v>1</v>
      </c>
      <c r="B71" s="11">
        <v>431500</v>
      </c>
      <c r="C71" s="11">
        <v>431500</v>
      </c>
      <c r="D71" s="11">
        <v>4</v>
      </c>
      <c r="E71" s="12"/>
      <c r="F71" s="13" t="s">
        <v>99</v>
      </c>
      <c r="G71" s="10">
        <v>0</v>
      </c>
      <c r="H71" s="10">
        <v>0</v>
      </c>
      <c r="I71" s="10">
        <v>0</v>
      </c>
      <c r="J71" s="10">
        <v>0</v>
      </c>
      <c r="K71" s="10">
        <v>364849</v>
      </c>
      <c r="L71" s="10">
        <v>403044</v>
      </c>
      <c r="M71" s="10">
        <v>364849</v>
      </c>
      <c r="N71" s="10">
        <v>403044</v>
      </c>
      <c r="O71" s="10">
        <v>0</v>
      </c>
      <c r="P71" s="10">
        <v>38195</v>
      </c>
      <c r="Q71" s="1">
        <v>0</v>
      </c>
      <c r="R71" s="1">
        <v>0</v>
      </c>
      <c r="S71" s="1">
        <v>0</v>
      </c>
      <c r="T71" s="1">
        <v>38195</v>
      </c>
      <c r="U71" s="1">
        <v>431500</v>
      </c>
      <c r="V71" s="1" t="s">
        <v>99</v>
      </c>
      <c r="W71" s="1" t="s">
        <v>33</v>
      </c>
      <c r="X71" t="s">
        <v>34</v>
      </c>
      <c r="Y71" s="16">
        <v>0</v>
      </c>
      <c r="Z71" s="16">
        <v>38195</v>
      </c>
      <c r="AA71" s="15">
        <f t="shared" si="3"/>
        <v>0</v>
      </c>
      <c r="AC71" s="15">
        <f t="shared" si="4"/>
        <v>0</v>
      </c>
      <c r="AD71" s="15">
        <f t="shared" si="5"/>
        <v>-38195</v>
      </c>
      <c r="AE71">
        <v>15</v>
      </c>
    </row>
    <row r="72" spans="1:31" x14ac:dyDescent="0.2">
      <c r="A72" s="14">
        <v>1</v>
      </c>
      <c r="B72" s="11">
        <v>431600</v>
      </c>
      <c r="C72" s="11">
        <v>431600</v>
      </c>
      <c r="D72" s="11">
        <v>4</v>
      </c>
      <c r="E72" s="12"/>
      <c r="F72" s="13" t="s">
        <v>100</v>
      </c>
      <c r="G72" s="10">
        <v>0</v>
      </c>
      <c r="H72" s="10">
        <v>0</v>
      </c>
      <c r="I72" s="10">
        <v>0</v>
      </c>
      <c r="J72" s="10">
        <v>0</v>
      </c>
      <c r="K72" s="10">
        <v>155922</v>
      </c>
      <c r="L72" s="10">
        <v>171964</v>
      </c>
      <c r="M72" s="10">
        <v>155922</v>
      </c>
      <c r="N72" s="10">
        <v>171964</v>
      </c>
      <c r="O72" s="10">
        <v>0</v>
      </c>
      <c r="P72" s="10">
        <v>16042</v>
      </c>
      <c r="Q72" s="1">
        <v>0</v>
      </c>
      <c r="R72" s="1">
        <v>0</v>
      </c>
      <c r="S72" s="1">
        <v>0</v>
      </c>
      <c r="T72" s="1">
        <v>16042</v>
      </c>
      <c r="U72" s="1">
        <v>431600</v>
      </c>
      <c r="V72" s="1" t="s">
        <v>100</v>
      </c>
      <c r="W72" s="1" t="s">
        <v>33</v>
      </c>
      <c r="X72" t="s">
        <v>34</v>
      </c>
      <c r="Y72" s="16">
        <v>0</v>
      </c>
      <c r="Z72" s="16">
        <v>16042</v>
      </c>
      <c r="AA72" s="15">
        <f t="shared" si="3"/>
        <v>0</v>
      </c>
      <c r="AC72" s="15">
        <f t="shared" si="4"/>
        <v>0</v>
      </c>
      <c r="AD72" s="15">
        <f t="shared" si="5"/>
        <v>-16042</v>
      </c>
      <c r="AE72">
        <v>15</v>
      </c>
    </row>
    <row r="73" spans="1:31" x14ac:dyDescent="0.2">
      <c r="A73" s="14">
        <v>1</v>
      </c>
      <c r="B73" s="11">
        <v>436000</v>
      </c>
      <c r="C73" s="11">
        <v>436000</v>
      </c>
      <c r="D73" s="11">
        <v>4</v>
      </c>
      <c r="E73" s="12"/>
      <c r="F73" s="13" t="s">
        <v>101</v>
      </c>
      <c r="G73" s="10">
        <v>0</v>
      </c>
      <c r="H73" s="10">
        <v>0</v>
      </c>
      <c r="I73" s="10">
        <v>0</v>
      </c>
      <c r="J73" s="10">
        <v>0</v>
      </c>
      <c r="K73" s="10">
        <v>32836</v>
      </c>
      <c r="L73" s="10">
        <v>36267</v>
      </c>
      <c r="M73" s="10">
        <v>32836</v>
      </c>
      <c r="N73" s="10">
        <v>36267</v>
      </c>
      <c r="O73" s="10">
        <v>0</v>
      </c>
      <c r="P73" s="10">
        <v>3431</v>
      </c>
      <c r="Q73" s="1">
        <v>0</v>
      </c>
      <c r="R73" s="1">
        <v>0</v>
      </c>
      <c r="S73" s="1">
        <v>0</v>
      </c>
      <c r="T73" s="1">
        <v>3431</v>
      </c>
      <c r="U73" s="1">
        <v>436000</v>
      </c>
      <c r="V73" s="1" t="s">
        <v>101</v>
      </c>
      <c r="W73" s="1" t="s">
        <v>33</v>
      </c>
      <c r="X73" t="s">
        <v>34</v>
      </c>
      <c r="Y73" s="16">
        <v>0</v>
      </c>
      <c r="Z73" s="16">
        <v>3431</v>
      </c>
      <c r="AA73" s="15">
        <f t="shared" si="3"/>
        <v>0</v>
      </c>
      <c r="AC73" s="15">
        <f t="shared" si="4"/>
        <v>0</v>
      </c>
      <c r="AD73" s="15">
        <f t="shared" si="5"/>
        <v>-3431</v>
      </c>
      <c r="AE73">
        <v>15</v>
      </c>
    </row>
    <row r="74" spans="1:31" x14ac:dyDescent="0.2">
      <c r="A74" s="14">
        <v>1</v>
      </c>
      <c r="B74" s="11">
        <v>442300</v>
      </c>
      <c r="C74" s="11">
        <v>442300</v>
      </c>
      <c r="D74" s="11">
        <v>4</v>
      </c>
      <c r="E74" s="12"/>
      <c r="F74" s="13" t="s">
        <v>102</v>
      </c>
      <c r="G74" s="10">
        <v>0</v>
      </c>
      <c r="H74" s="10">
        <v>0</v>
      </c>
      <c r="I74" s="10">
        <v>0</v>
      </c>
      <c r="J74" s="10">
        <v>0</v>
      </c>
      <c r="K74" s="10">
        <v>28196.78</v>
      </c>
      <c r="L74" s="10">
        <v>180261.11</v>
      </c>
      <c r="M74" s="10">
        <v>28196.78</v>
      </c>
      <c r="N74" s="10">
        <v>180261.11</v>
      </c>
      <c r="O74" s="10">
        <v>0</v>
      </c>
      <c r="P74" s="10">
        <v>152064.32999999999</v>
      </c>
      <c r="Q74" s="1">
        <v>0</v>
      </c>
      <c r="R74" s="1">
        <v>0</v>
      </c>
      <c r="S74" s="1">
        <v>0</v>
      </c>
      <c r="T74" s="1">
        <v>152064.32999999999</v>
      </c>
      <c r="U74" s="1">
        <v>442300</v>
      </c>
      <c r="V74" s="1" t="s">
        <v>102</v>
      </c>
      <c r="W74" s="1" t="s">
        <v>33</v>
      </c>
      <c r="X74" t="s">
        <v>34</v>
      </c>
      <c r="Y74" s="16">
        <v>0</v>
      </c>
      <c r="Z74" s="16">
        <v>152064.32999999999</v>
      </c>
      <c r="AA74" s="15">
        <f t="shared" si="3"/>
        <v>0</v>
      </c>
      <c r="AC74" s="15">
        <f t="shared" si="4"/>
        <v>0</v>
      </c>
      <c r="AD74" s="15">
        <f t="shared" si="5"/>
        <v>-152064.32999999999</v>
      </c>
      <c r="AE74">
        <v>15</v>
      </c>
    </row>
    <row r="75" spans="1:31" x14ac:dyDescent="0.2">
      <c r="A75" s="14">
        <v>1</v>
      </c>
      <c r="B75" s="11">
        <v>442302</v>
      </c>
      <c r="C75" s="11">
        <v>442302</v>
      </c>
      <c r="D75" s="11">
        <v>4</v>
      </c>
      <c r="E75" s="12"/>
      <c r="F75" s="13" t="s">
        <v>103</v>
      </c>
      <c r="G75" s="10">
        <v>0</v>
      </c>
      <c r="H75" s="10">
        <v>0</v>
      </c>
      <c r="I75" s="10">
        <v>0</v>
      </c>
      <c r="J75" s="10">
        <v>0</v>
      </c>
      <c r="K75" s="10">
        <v>3266782.15</v>
      </c>
      <c r="L75" s="10">
        <v>3257460.6</v>
      </c>
      <c r="M75" s="10">
        <v>3266782.15</v>
      </c>
      <c r="N75" s="10">
        <v>3257460.6</v>
      </c>
      <c r="O75" s="10">
        <v>9321.5499999999993</v>
      </c>
      <c r="P75" s="10">
        <v>0</v>
      </c>
      <c r="Q75" s="1">
        <v>0</v>
      </c>
      <c r="R75" s="1">
        <v>0</v>
      </c>
      <c r="S75" s="1">
        <v>9321.5499999999993</v>
      </c>
      <c r="T75" s="1">
        <v>0</v>
      </c>
      <c r="U75" s="1">
        <v>442302</v>
      </c>
      <c r="V75" s="1" t="s">
        <v>103</v>
      </c>
      <c r="W75" s="1" t="s">
        <v>33</v>
      </c>
      <c r="X75" t="s">
        <v>34</v>
      </c>
      <c r="Y75" s="16">
        <v>9321.5499999999993</v>
      </c>
      <c r="Z75" s="16">
        <v>0</v>
      </c>
      <c r="AA75" s="15">
        <f t="shared" si="3"/>
        <v>0</v>
      </c>
      <c r="AC75" s="15">
        <f t="shared" si="4"/>
        <v>0</v>
      </c>
      <c r="AD75" s="15">
        <f t="shared" si="5"/>
        <v>9321.5499999999993</v>
      </c>
      <c r="AE75">
        <v>15</v>
      </c>
    </row>
    <row r="76" spans="1:31" x14ac:dyDescent="0.2">
      <c r="A76" s="14">
        <v>1</v>
      </c>
      <c r="B76" s="11">
        <v>442400</v>
      </c>
      <c r="C76" s="11">
        <v>442400</v>
      </c>
      <c r="D76" s="11">
        <v>4</v>
      </c>
      <c r="E76" s="12"/>
      <c r="F76" s="13" t="s">
        <v>104</v>
      </c>
      <c r="G76" s="10">
        <v>73</v>
      </c>
      <c r="H76" s="10">
        <v>0</v>
      </c>
      <c r="I76" s="10">
        <v>73</v>
      </c>
      <c r="J76" s="10">
        <v>0</v>
      </c>
      <c r="K76" s="10">
        <v>120026.83</v>
      </c>
      <c r="L76" s="10">
        <v>120099.93</v>
      </c>
      <c r="M76" s="10">
        <v>120099.83</v>
      </c>
      <c r="N76" s="10">
        <v>120099.93</v>
      </c>
      <c r="O76" s="10">
        <v>0</v>
      </c>
      <c r="P76" s="10">
        <v>0.1</v>
      </c>
      <c r="Q76" s="1">
        <v>73</v>
      </c>
      <c r="R76" s="1">
        <v>0</v>
      </c>
      <c r="S76" s="1">
        <v>0</v>
      </c>
      <c r="T76" s="1">
        <v>0.1</v>
      </c>
      <c r="U76" s="1">
        <v>442400</v>
      </c>
      <c r="V76" s="1" t="s">
        <v>104</v>
      </c>
      <c r="W76" s="1" t="s">
        <v>33</v>
      </c>
      <c r="X76" t="s">
        <v>34</v>
      </c>
      <c r="Y76" s="16">
        <v>0</v>
      </c>
      <c r="Z76" s="16">
        <v>0.1</v>
      </c>
      <c r="AA76" s="15">
        <f t="shared" si="3"/>
        <v>0</v>
      </c>
      <c r="AC76" s="15">
        <f t="shared" si="4"/>
        <v>73</v>
      </c>
      <c r="AD76" s="15">
        <f t="shared" si="5"/>
        <v>-0.1</v>
      </c>
      <c r="AE76">
        <v>6</v>
      </c>
    </row>
    <row r="77" spans="1:31" x14ac:dyDescent="0.2">
      <c r="A77" s="14">
        <v>1</v>
      </c>
      <c r="B77" s="11">
        <v>4426</v>
      </c>
      <c r="C77" s="11">
        <v>4426</v>
      </c>
      <c r="D77" s="11">
        <v>4</v>
      </c>
      <c r="E77" s="12"/>
      <c r="F77" s="13" t="s">
        <v>105</v>
      </c>
      <c r="G77" s="10">
        <v>0.15</v>
      </c>
      <c r="H77" s="10">
        <v>0</v>
      </c>
      <c r="I77" s="10">
        <v>0.15</v>
      </c>
      <c r="J77" s="10">
        <v>0</v>
      </c>
      <c r="K77" s="10">
        <v>520314.17</v>
      </c>
      <c r="L77" s="10">
        <v>520314.32</v>
      </c>
      <c r="M77" s="10">
        <v>520314.32</v>
      </c>
      <c r="N77" s="10">
        <v>520314.32</v>
      </c>
      <c r="O77" s="10">
        <v>0</v>
      </c>
      <c r="P77" s="10">
        <v>0</v>
      </c>
      <c r="Q77" s="1">
        <v>0.15</v>
      </c>
      <c r="R77" s="1">
        <v>0</v>
      </c>
      <c r="S77" s="1">
        <v>0</v>
      </c>
      <c r="T77" s="1">
        <v>0</v>
      </c>
      <c r="U77" s="1">
        <v>4426</v>
      </c>
      <c r="V77" s="1" t="s">
        <v>105</v>
      </c>
      <c r="W77" s="1" t="s">
        <v>33</v>
      </c>
      <c r="X77" t="s">
        <v>34</v>
      </c>
      <c r="Y77" s="16">
        <v>0</v>
      </c>
      <c r="Z77" s="16">
        <v>0</v>
      </c>
      <c r="AA77" s="15">
        <f t="shared" si="3"/>
        <v>0</v>
      </c>
      <c r="AC77" s="15">
        <f t="shared" si="4"/>
        <v>0.15</v>
      </c>
      <c r="AD77" s="15">
        <f t="shared" si="5"/>
        <v>0</v>
      </c>
    </row>
    <row r="78" spans="1:31" x14ac:dyDescent="0.2">
      <c r="A78" s="14">
        <v>1</v>
      </c>
      <c r="B78" s="11">
        <v>442600</v>
      </c>
      <c r="C78" s="11">
        <v>442600</v>
      </c>
      <c r="D78" s="11">
        <v>4</v>
      </c>
      <c r="E78" s="12"/>
      <c r="F78" s="13" t="s">
        <v>106</v>
      </c>
      <c r="G78" s="10">
        <v>0</v>
      </c>
      <c r="H78" s="10">
        <v>0</v>
      </c>
      <c r="I78" s="10">
        <v>0</v>
      </c>
      <c r="J78" s="10">
        <v>0</v>
      </c>
      <c r="K78" s="10">
        <v>6566788.6699999999</v>
      </c>
      <c r="L78" s="10">
        <v>6566788.6699999999</v>
      </c>
      <c r="M78" s="10">
        <v>6566788.6699999999</v>
      </c>
      <c r="N78" s="10">
        <v>6566788.6699999999</v>
      </c>
      <c r="O78" s="10">
        <v>0</v>
      </c>
      <c r="P78" s="10">
        <v>0</v>
      </c>
      <c r="Q78" s="1">
        <v>0</v>
      </c>
      <c r="R78" s="1">
        <v>0</v>
      </c>
      <c r="S78" s="1">
        <v>0</v>
      </c>
      <c r="T78" s="1">
        <v>0</v>
      </c>
      <c r="U78" s="1">
        <v>442600</v>
      </c>
      <c r="V78" s="1" t="s">
        <v>106</v>
      </c>
      <c r="W78" s="1" t="s">
        <v>33</v>
      </c>
      <c r="X78" t="s">
        <v>34</v>
      </c>
      <c r="Y78" s="16">
        <v>0</v>
      </c>
      <c r="Z78" s="16">
        <v>0</v>
      </c>
      <c r="AA78" s="15">
        <f t="shared" si="3"/>
        <v>0</v>
      </c>
      <c r="AC78" s="15">
        <f t="shared" si="4"/>
        <v>0</v>
      </c>
      <c r="AD78" s="15">
        <f t="shared" si="5"/>
        <v>0</v>
      </c>
    </row>
    <row r="79" spans="1:31" x14ac:dyDescent="0.2">
      <c r="A79" s="14">
        <v>1</v>
      </c>
      <c r="B79" s="11">
        <v>4427</v>
      </c>
      <c r="C79" s="11">
        <v>4427</v>
      </c>
      <c r="D79" s="11">
        <v>4</v>
      </c>
      <c r="E79" s="12"/>
      <c r="F79" s="13" t="s">
        <v>107</v>
      </c>
      <c r="G79" s="10">
        <v>0</v>
      </c>
      <c r="H79" s="10">
        <v>0</v>
      </c>
      <c r="I79" s="10">
        <v>0</v>
      </c>
      <c r="J79" s="10">
        <v>0</v>
      </c>
      <c r="K79" s="10">
        <v>442544.11</v>
      </c>
      <c r="L79" s="10">
        <v>442544.11</v>
      </c>
      <c r="M79" s="10">
        <v>442544.11</v>
      </c>
      <c r="N79" s="10">
        <v>442544.11</v>
      </c>
      <c r="O79" s="10">
        <v>0</v>
      </c>
      <c r="P79" s="10">
        <v>0</v>
      </c>
      <c r="Q79" s="1">
        <v>0</v>
      </c>
      <c r="R79" s="1">
        <v>0</v>
      </c>
      <c r="S79" s="1">
        <v>0</v>
      </c>
      <c r="T79" s="1">
        <v>0</v>
      </c>
      <c r="U79" s="1">
        <v>4427</v>
      </c>
      <c r="V79" s="1" t="s">
        <v>107</v>
      </c>
      <c r="W79" s="1" t="s">
        <v>33</v>
      </c>
      <c r="X79" t="s">
        <v>34</v>
      </c>
      <c r="Y79" s="16">
        <v>0</v>
      </c>
      <c r="Z79" s="16">
        <v>0</v>
      </c>
      <c r="AA79" s="15">
        <f t="shared" si="3"/>
        <v>0</v>
      </c>
      <c r="AC79" s="15">
        <f t="shared" si="4"/>
        <v>0</v>
      </c>
      <c r="AD79" s="15">
        <f t="shared" si="5"/>
        <v>0</v>
      </c>
    </row>
    <row r="80" spans="1:31" x14ac:dyDescent="0.2">
      <c r="A80" s="14">
        <v>1</v>
      </c>
      <c r="B80" s="11">
        <v>442700</v>
      </c>
      <c r="C80" s="11">
        <v>442700</v>
      </c>
      <c r="D80" s="11">
        <v>4</v>
      </c>
      <c r="E80" s="12"/>
      <c r="F80" s="13" t="s">
        <v>108</v>
      </c>
      <c r="G80" s="10">
        <v>0</v>
      </c>
      <c r="H80" s="10">
        <v>0</v>
      </c>
      <c r="I80" s="10">
        <v>0</v>
      </c>
      <c r="J80" s="10">
        <v>0</v>
      </c>
      <c r="K80" s="10">
        <v>9843725.7799999993</v>
      </c>
      <c r="L80" s="10">
        <v>9843725.7799999993</v>
      </c>
      <c r="M80" s="10">
        <v>9843725.7799999993</v>
      </c>
      <c r="N80" s="10">
        <v>9843725.7799999993</v>
      </c>
      <c r="O80" s="10">
        <v>0</v>
      </c>
      <c r="P80" s="10">
        <v>0</v>
      </c>
      <c r="Q80" s="1">
        <v>0</v>
      </c>
      <c r="R80" s="1">
        <v>0</v>
      </c>
      <c r="S80" s="1">
        <v>0</v>
      </c>
      <c r="T80" s="1">
        <v>0</v>
      </c>
      <c r="U80" s="1">
        <v>442700</v>
      </c>
      <c r="V80" s="1" t="s">
        <v>108</v>
      </c>
      <c r="W80" s="1" t="s">
        <v>33</v>
      </c>
      <c r="X80" t="s">
        <v>34</v>
      </c>
      <c r="Y80" s="16">
        <v>0</v>
      </c>
      <c r="Z80" s="16">
        <v>0</v>
      </c>
      <c r="AA80" s="15">
        <f t="shared" si="3"/>
        <v>0</v>
      </c>
      <c r="AC80" s="15">
        <f t="shared" si="4"/>
        <v>0</v>
      </c>
      <c r="AD80" s="15">
        <f t="shared" si="5"/>
        <v>0</v>
      </c>
    </row>
    <row r="81" spans="1:31" x14ac:dyDescent="0.2">
      <c r="A81" s="14">
        <v>1</v>
      </c>
      <c r="B81" s="11">
        <v>442701</v>
      </c>
      <c r="C81" s="11">
        <v>442701</v>
      </c>
      <c r="D81" s="11">
        <v>4</v>
      </c>
      <c r="E81" s="12"/>
      <c r="F81" s="13" t="s">
        <v>109</v>
      </c>
      <c r="G81" s="10">
        <v>0</v>
      </c>
      <c r="H81" s="10">
        <v>0</v>
      </c>
      <c r="I81" s="10">
        <v>0</v>
      </c>
      <c r="J81" s="10">
        <v>0</v>
      </c>
      <c r="K81" s="10">
        <v>110646.68</v>
      </c>
      <c r="L81" s="10">
        <v>110646.68</v>
      </c>
      <c r="M81" s="10">
        <v>110646.68</v>
      </c>
      <c r="N81" s="10">
        <v>110646.68</v>
      </c>
      <c r="O81" s="10">
        <v>0</v>
      </c>
      <c r="P81" s="10">
        <v>0</v>
      </c>
      <c r="Q81" s="1">
        <v>0</v>
      </c>
      <c r="R81" s="1">
        <v>0</v>
      </c>
      <c r="S81" s="1">
        <v>0</v>
      </c>
      <c r="T81" s="1">
        <v>0</v>
      </c>
      <c r="U81" s="1">
        <v>442701</v>
      </c>
      <c r="V81" s="1" t="s">
        <v>109</v>
      </c>
      <c r="W81" s="1" t="s">
        <v>33</v>
      </c>
      <c r="X81" t="s">
        <v>34</v>
      </c>
      <c r="Y81" s="16">
        <v>0</v>
      </c>
      <c r="Z81" s="16">
        <v>0</v>
      </c>
      <c r="AA81" s="15">
        <f t="shared" si="3"/>
        <v>0</v>
      </c>
      <c r="AC81" s="15">
        <f t="shared" si="4"/>
        <v>0</v>
      </c>
      <c r="AD81" s="15">
        <f t="shared" si="5"/>
        <v>0</v>
      </c>
    </row>
    <row r="82" spans="1:31" x14ac:dyDescent="0.2">
      <c r="A82" s="14">
        <v>1</v>
      </c>
      <c r="B82" s="11">
        <v>44283</v>
      </c>
      <c r="C82" s="11">
        <v>44283</v>
      </c>
      <c r="D82" s="11">
        <v>4</v>
      </c>
      <c r="E82" s="12"/>
      <c r="F82" s="13" t="s">
        <v>110</v>
      </c>
      <c r="G82" s="10">
        <v>0</v>
      </c>
      <c r="H82" s="10">
        <v>0</v>
      </c>
      <c r="I82" s="10">
        <v>0</v>
      </c>
      <c r="J82" s="10">
        <v>0</v>
      </c>
      <c r="K82" s="10">
        <v>13418.95</v>
      </c>
      <c r="L82" s="10">
        <v>12182.54</v>
      </c>
      <c r="M82" s="10">
        <v>13418.95</v>
      </c>
      <c r="N82" s="10">
        <v>12182.54</v>
      </c>
      <c r="O82" s="10">
        <v>1236.4100000000001</v>
      </c>
      <c r="P82" s="10">
        <v>0</v>
      </c>
      <c r="Q82" s="1">
        <v>0</v>
      </c>
      <c r="R82" s="1">
        <v>0</v>
      </c>
      <c r="S82" s="1">
        <v>1236.4100000000001</v>
      </c>
      <c r="T82" s="1">
        <v>0</v>
      </c>
      <c r="U82" s="1">
        <v>44283</v>
      </c>
      <c r="V82" s="1" t="s">
        <v>110</v>
      </c>
      <c r="W82" s="1" t="s">
        <v>33</v>
      </c>
      <c r="X82" t="s">
        <v>34</v>
      </c>
      <c r="Y82" s="33">
        <v>1236.4100000000001</v>
      </c>
      <c r="Z82" s="33">
        <v>0</v>
      </c>
      <c r="AA82" s="15">
        <f t="shared" si="3"/>
        <v>0</v>
      </c>
      <c r="AC82" s="15">
        <f t="shared" si="4"/>
        <v>0</v>
      </c>
      <c r="AD82" s="15">
        <f t="shared" si="5"/>
        <v>1236.4100000000001</v>
      </c>
      <c r="AE82">
        <v>6</v>
      </c>
    </row>
    <row r="83" spans="1:31" x14ac:dyDescent="0.2">
      <c r="A83" s="14">
        <v>1</v>
      </c>
      <c r="B83" s="11">
        <v>44284</v>
      </c>
      <c r="C83" s="11">
        <v>44284</v>
      </c>
      <c r="D83" s="11">
        <v>4</v>
      </c>
      <c r="E83" s="12"/>
      <c r="F83" s="13" t="s">
        <v>111</v>
      </c>
      <c r="G83" s="10">
        <v>0</v>
      </c>
      <c r="H83" s="10">
        <v>0</v>
      </c>
      <c r="I83" s="10">
        <v>0</v>
      </c>
      <c r="J83" s="10">
        <v>0</v>
      </c>
      <c r="K83" s="10">
        <v>194024.56</v>
      </c>
      <c r="L83" s="10">
        <v>183080.08</v>
      </c>
      <c r="M83" s="10">
        <v>194024.56</v>
      </c>
      <c r="N83" s="10">
        <v>183080.08</v>
      </c>
      <c r="O83" s="10">
        <v>10944.48</v>
      </c>
      <c r="P83" s="10">
        <v>0</v>
      </c>
      <c r="Q83" s="1">
        <v>0</v>
      </c>
      <c r="R83" s="1">
        <v>0</v>
      </c>
      <c r="S83" s="1">
        <v>10944.48</v>
      </c>
      <c r="T83" s="1">
        <v>0</v>
      </c>
      <c r="U83" s="1">
        <v>44284</v>
      </c>
      <c r="V83" s="1" t="s">
        <v>111</v>
      </c>
      <c r="W83" s="1" t="s">
        <v>33</v>
      </c>
      <c r="X83" t="s">
        <v>34</v>
      </c>
      <c r="Y83" s="33">
        <v>10944.48</v>
      </c>
      <c r="Z83" s="33">
        <v>0</v>
      </c>
      <c r="AA83" s="15">
        <f t="shared" si="3"/>
        <v>0</v>
      </c>
      <c r="AC83" s="15">
        <f t="shared" si="4"/>
        <v>0</v>
      </c>
      <c r="AD83" s="15">
        <f t="shared" si="5"/>
        <v>10944.48</v>
      </c>
      <c r="AE83">
        <v>6</v>
      </c>
    </row>
    <row r="84" spans="1:31" x14ac:dyDescent="0.2">
      <c r="A84" s="14">
        <v>1</v>
      </c>
      <c r="B84" s="11">
        <v>444000</v>
      </c>
      <c r="C84" s="11">
        <v>444000</v>
      </c>
      <c r="D84" s="11">
        <v>4</v>
      </c>
      <c r="E84" s="12"/>
      <c r="F84" s="13" t="s">
        <v>112</v>
      </c>
      <c r="G84" s="10">
        <v>0</v>
      </c>
      <c r="H84" s="10">
        <v>0</v>
      </c>
      <c r="I84" s="10">
        <v>0</v>
      </c>
      <c r="J84" s="10">
        <v>0</v>
      </c>
      <c r="K84" s="10">
        <v>112534</v>
      </c>
      <c r="L84" s="10">
        <v>123098</v>
      </c>
      <c r="M84" s="10">
        <v>112534</v>
      </c>
      <c r="N84" s="10">
        <v>123098</v>
      </c>
      <c r="O84" s="10">
        <v>0</v>
      </c>
      <c r="P84" s="10">
        <v>10564</v>
      </c>
      <c r="Q84" s="1">
        <v>0</v>
      </c>
      <c r="R84" s="1">
        <v>0</v>
      </c>
      <c r="S84" s="1">
        <v>0</v>
      </c>
      <c r="T84" s="1">
        <v>10564</v>
      </c>
      <c r="U84" s="1">
        <v>444000</v>
      </c>
      <c r="V84" s="1" t="s">
        <v>112</v>
      </c>
      <c r="W84" s="1" t="s">
        <v>33</v>
      </c>
      <c r="X84" t="s">
        <v>34</v>
      </c>
      <c r="Y84" s="16">
        <v>0</v>
      </c>
      <c r="Z84" s="16">
        <v>10564</v>
      </c>
      <c r="AA84" s="15">
        <f t="shared" si="3"/>
        <v>0</v>
      </c>
      <c r="AC84" s="15">
        <f t="shared" si="4"/>
        <v>0</v>
      </c>
      <c r="AD84" s="15">
        <f t="shared" si="5"/>
        <v>-10564</v>
      </c>
      <c r="AE84">
        <v>15</v>
      </c>
    </row>
    <row r="85" spans="1:31" x14ac:dyDescent="0.2">
      <c r="A85" s="14">
        <v>1</v>
      </c>
      <c r="B85" s="11">
        <v>446053</v>
      </c>
      <c r="C85" s="11">
        <v>446053</v>
      </c>
      <c r="D85" s="11">
        <v>4</v>
      </c>
      <c r="E85" s="12"/>
      <c r="F85" s="13" t="s">
        <v>113</v>
      </c>
      <c r="G85" s="10">
        <v>0</v>
      </c>
      <c r="H85" s="10">
        <v>0</v>
      </c>
      <c r="I85" s="10">
        <v>0</v>
      </c>
      <c r="J85" s="10">
        <v>0</v>
      </c>
      <c r="K85" s="10">
        <v>31500.61</v>
      </c>
      <c r="L85" s="10">
        <v>31500.61</v>
      </c>
      <c r="M85" s="10">
        <v>31500.61</v>
      </c>
      <c r="N85" s="10">
        <v>31500.61</v>
      </c>
      <c r="O85" s="10">
        <v>0</v>
      </c>
      <c r="P85" s="10">
        <v>0</v>
      </c>
      <c r="Q85" s="1">
        <v>0</v>
      </c>
      <c r="R85" s="1">
        <v>0</v>
      </c>
      <c r="S85" s="1">
        <v>0</v>
      </c>
      <c r="T85" s="1">
        <v>0</v>
      </c>
      <c r="U85" s="1">
        <v>446053</v>
      </c>
      <c r="V85" s="1" t="s">
        <v>113</v>
      </c>
      <c r="W85" s="1" t="s">
        <v>33</v>
      </c>
      <c r="X85" t="s">
        <v>34</v>
      </c>
      <c r="Y85" s="16">
        <v>0</v>
      </c>
      <c r="Z85" s="16">
        <v>0</v>
      </c>
      <c r="AA85" s="15">
        <f t="shared" si="3"/>
        <v>0</v>
      </c>
      <c r="AC85" s="15">
        <f t="shared" si="4"/>
        <v>0</v>
      </c>
      <c r="AD85" s="15">
        <f t="shared" si="5"/>
        <v>0</v>
      </c>
      <c r="AE85">
        <v>6</v>
      </c>
    </row>
    <row r="86" spans="1:31" x14ac:dyDescent="0.2">
      <c r="A86" s="14">
        <v>1</v>
      </c>
      <c r="B86" s="11">
        <v>451104</v>
      </c>
      <c r="C86" s="11">
        <v>451104</v>
      </c>
      <c r="D86" s="11">
        <v>4</v>
      </c>
      <c r="E86" s="12"/>
      <c r="F86" s="13" t="s">
        <v>114</v>
      </c>
      <c r="G86" s="10">
        <v>0</v>
      </c>
      <c r="H86" s="10">
        <v>0</v>
      </c>
      <c r="I86" s="10">
        <v>0</v>
      </c>
      <c r="J86" s="10">
        <v>0</v>
      </c>
      <c r="K86" s="10">
        <v>13013734.439999999</v>
      </c>
      <c r="L86" s="10">
        <v>7057595.8600000003</v>
      </c>
      <c r="M86" s="10">
        <v>13013734.439999999</v>
      </c>
      <c r="N86" s="10">
        <v>7057595.8600000003</v>
      </c>
      <c r="O86" s="10">
        <v>5956138.5800000001</v>
      </c>
      <c r="P86" s="10">
        <v>0</v>
      </c>
      <c r="Q86" s="1">
        <v>0</v>
      </c>
      <c r="R86" s="1">
        <v>0</v>
      </c>
      <c r="S86" s="1">
        <v>5956138.5800000001</v>
      </c>
      <c r="T86" s="1">
        <v>0</v>
      </c>
      <c r="U86" s="1">
        <v>451104</v>
      </c>
      <c r="V86" s="1" t="s">
        <v>114</v>
      </c>
      <c r="W86" s="1" t="s">
        <v>33</v>
      </c>
      <c r="X86" t="s">
        <v>34</v>
      </c>
      <c r="Y86" s="16">
        <v>5956138.5800000001</v>
      </c>
      <c r="Z86" s="16">
        <v>0</v>
      </c>
      <c r="AA86" s="15">
        <f t="shared" si="3"/>
        <v>0</v>
      </c>
      <c r="AC86" s="15">
        <f t="shared" si="4"/>
        <v>0</v>
      </c>
      <c r="AD86" s="15">
        <f t="shared" si="5"/>
        <v>5956138.5800000001</v>
      </c>
      <c r="AE86">
        <v>6</v>
      </c>
    </row>
    <row r="87" spans="1:31" x14ac:dyDescent="0.2">
      <c r="A87" s="14">
        <v>1</v>
      </c>
      <c r="B87" s="11">
        <v>451105</v>
      </c>
      <c r="C87" s="11">
        <v>451105</v>
      </c>
      <c r="D87" s="11">
        <v>4</v>
      </c>
      <c r="E87" s="12"/>
      <c r="F87" s="13" t="s">
        <v>115</v>
      </c>
      <c r="G87" s="10">
        <v>0</v>
      </c>
      <c r="H87" s="10">
        <v>0</v>
      </c>
      <c r="I87" s="10">
        <v>0</v>
      </c>
      <c r="J87" s="10">
        <v>0</v>
      </c>
      <c r="K87" s="10">
        <v>0</v>
      </c>
      <c r="L87" s="10">
        <v>0</v>
      </c>
      <c r="M87" s="10">
        <v>0</v>
      </c>
      <c r="N87" s="10">
        <v>0</v>
      </c>
      <c r="O87" s="10">
        <v>0</v>
      </c>
      <c r="P87" s="10">
        <v>0</v>
      </c>
      <c r="Q87" s="1">
        <v>0</v>
      </c>
      <c r="R87" s="1">
        <v>0</v>
      </c>
      <c r="S87" s="1">
        <v>0</v>
      </c>
      <c r="T87" s="1">
        <v>0</v>
      </c>
      <c r="U87" s="1">
        <v>451105</v>
      </c>
      <c r="V87" s="1" t="s">
        <v>115</v>
      </c>
      <c r="W87" s="1" t="s">
        <v>33</v>
      </c>
      <c r="X87" t="s">
        <v>34</v>
      </c>
      <c r="Y87" s="16">
        <v>0</v>
      </c>
      <c r="Z87" s="16">
        <v>0</v>
      </c>
      <c r="AA87" s="15">
        <f t="shared" si="3"/>
        <v>0</v>
      </c>
      <c r="AC87" s="15">
        <f t="shared" si="4"/>
        <v>0</v>
      </c>
      <c r="AD87" s="15">
        <f t="shared" si="5"/>
        <v>0</v>
      </c>
      <c r="AE87">
        <v>15</v>
      </c>
    </row>
    <row r="88" spans="1:31" x14ac:dyDescent="0.2">
      <c r="A88" s="14">
        <v>1</v>
      </c>
      <c r="B88" s="11">
        <v>451109</v>
      </c>
      <c r="C88" s="11">
        <v>451109</v>
      </c>
      <c r="D88" s="11">
        <v>4</v>
      </c>
      <c r="E88" s="12"/>
      <c r="F88" s="13" t="s">
        <v>116</v>
      </c>
      <c r="G88" s="10">
        <v>0</v>
      </c>
      <c r="H88" s="10">
        <v>0</v>
      </c>
      <c r="I88" s="10">
        <v>0</v>
      </c>
      <c r="J88" s="10">
        <v>0</v>
      </c>
      <c r="K88" s="10">
        <v>0</v>
      </c>
      <c r="L88" s="10">
        <v>504955.44</v>
      </c>
      <c r="M88" s="10">
        <v>0</v>
      </c>
      <c r="N88" s="10">
        <v>504955.44</v>
      </c>
      <c r="O88" s="10">
        <v>0</v>
      </c>
      <c r="P88" s="10">
        <v>504955.44</v>
      </c>
      <c r="Q88" s="1">
        <v>0</v>
      </c>
      <c r="R88" s="1">
        <v>0</v>
      </c>
      <c r="S88" s="1">
        <v>0</v>
      </c>
      <c r="T88" s="1">
        <v>504955.44</v>
      </c>
      <c r="U88" s="1">
        <v>451109</v>
      </c>
      <c r="V88" s="1" t="s">
        <v>116</v>
      </c>
      <c r="W88" s="1" t="s">
        <v>33</v>
      </c>
      <c r="X88" t="s">
        <v>34</v>
      </c>
      <c r="Y88" s="16">
        <v>0</v>
      </c>
      <c r="Z88" s="16">
        <v>504955.44</v>
      </c>
      <c r="AA88" s="15">
        <f t="shared" si="3"/>
        <v>0</v>
      </c>
      <c r="AC88" s="15">
        <f t="shared" si="4"/>
        <v>0</v>
      </c>
      <c r="AD88" s="15">
        <f t="shared" si="5"/>
        <v>-504955.44</v>
      </c>
      <c r="AE88">
        <v>15</v>
      </c>
    </row>
    <row r="89" spans="1:31" x14ac:dyDescent="0.2">
      <c r="A89" s="14">
        <v>1</v>
      </c>
      <c r="B89" s="11">
        <v>451801</v>
      </c>
      <c r="C89" s="11">
        <v>451801</v>
      </c>
      <c r="D89" s="11">
        <v>4</v>
      </c>
      <c r="E89" s="12"/>
      <c r="F89" s="13" t="s">
        <v>117</v>
      </c>
      <c r="G89" s="10">
        <v>0</v>
      </c>
      <c r="H89" s="10">
        <v>0</v>
      </c>
      <c r="I89" s="10">
        <v>0</v>
      </c>
      <c r="J89" s="10">
        <v>0</v>
      </c>
      <c r="K89" s="10">
        <v>136692.89000000001</v>
      </c>
      <c r="L89" s="10">
        <v>97285.39</v>
      </c>
      <c r="M89" s="10">
        <v>136692.89000000001</v>
      </c>
      <c r="N89" s="10">
        <v>97285.39</v>
      </c>
      <c r="O89" s="10">
        <v>39407.5</v>
      </c>
      <c r="P89" s="10">
        <v>0</v>
      </c>
      <c r="Q89" s="1">
        <v>0</v>
      </c>
      <c r="R89" s="1">
        <v>0</v>
      </c>
      <c r="S89" s="1">
        <v>39407.5</v>
      </c>
      <c r="T89" s="1">
        <v>0</v>
      </c>
      <c r="U89" s="1">
        <v>451801</v>
      </c>
      <c r="V89" s="1" t="s">
        <v>117</v>
      </c>
      <c r="W89" s="1" t="s">
        <v>33</v>
      </c>
      <c r="X89" t="s">
        <v>34</v>
      </c>
      <c r="Y89" s="16">
        <v>39407.5</v>
      </c>
      <c r="Z89" s="16">
        <v>0</v>
      </c>
      <c r="AA89" s="15">
        <f t="shared" si="3"/>
        <v>0</v>
      </c>
      <c r="AC89" s="15">
        <f t="shared" si="4"/>
        <v>0</v>
      </c>
      <c r="AD89" s="15">
        <f t="shared" si="5"/>
        <v>39407.5</v>
      </c>
      <c r="AE89">
        <v>6</v>
      </c>
    </row>
    <row r="90" spans="1:31" x14ac:dyDescent="0.2">
      <c r="A90" s="14">
        <v>1</v>
      </c>
      <c r="B90" s="11">
        <v>456000</v>
      </c>
      <c r="C90" s="11">
        <v>456000</v>
      </c>
      <c r="D90" s="11">
        <v>4</v>
      </c>
      <c r="E90" s="12"/>
      <c r="F90" s="13" t="s">
        <v>118</v>
      </c>
      <c r="G90" s="10">
        <v>100</v>
      </c>
      <c r="H90" s="10">
        <v>0</v>
      </c>
      <c r="I90" s="10">
        <v>100</v>
      </c>
      <c r="J90" s="10">
        <v>0</v>
      </c>
      <c r="K90" s="10">
        <v>8852063.3100000005</v>
      </c>
      <c r="L90" s="10">
        <v>8741502.6999999993</v>
      </c>
      <c r="M90" s="10">
        <v>8852163.3100000005</v>
      </c>
      <c r="N90" s="10">
        <v>8741502.6999999993</v>
      </c>
      <c r="O90" s="10">
        <v>110660.61</v>
      </c>
      <c r="P90" s="10">
        <v>0</v>
      </c>
      <c r="Q90" s="1">
        <v>100</v>
      </c>
      <c r="R90" s="1">
        <v>0</v>
      </c>
      <c r="S90" s="1">
        <v>110660.61</v>
      </c>
      <c r="T90" s="1">
        <v>0</v>
      </c>
      <c r="U90" s="1">
        <v>456000</v>
      </c>
      <c r="V90" s="1" t="s">
        <v>118</v>
      </c>
      <c r="W90" s="1" t="s">
        <v>33</v>
      </c>
      <c r="X90" t="s">
        <v>34</v>
      </c>
      <c r="Y90" s="16">
        <v>110660.61</v>
      </c>
      <c r="Z90" s="16">
        <v>0</v>
      </c>
      <c r="AA90" s="15">
        <f t="shared" si="3"/>
        <v>0</v>
      </c>
      <c r="AC90" s="15">
        <f t="shared" si="4"/>
        <v>100</v>
      </c>
      <c r="AD90" s="15">
        <f t="shared" si="5"/>
        <v>110660.61</v>
      </c>
      <c r="AE90">
        <v>6</v>
      </c>
    </row>
    <row r="91" spans="1:31" x14ac:dyDescent="0.2">
      <c r="A91" s="14">
        <v>1</v>
      </c>
      <c r="B91" s="11">
        <v>456001</v>
      </c>
      <c r="C91" s="11">
        <v>456001</v>
      </c>
      <c r="D91" s="11">
        <v>4</v>
      </c>
      <c r="E91" s="12"/>
      <c r="F91" s="13" t="s">
        <v>119</v>
      </c>
      <c r="G91" s="10">
        <v>0</v>
      </c>
      <c r="H91" s="10">
        <v>0</v>
      </c>
      <c r="I91" s="10">
        <v>0</v>
      </c>
      <c r="J91" s="10">
        <v>0</v>
      </c>
      <c r="K91" s="10">
        <v>0</v>
      </c>
      <c r="L91" s="10">
        <v>0</v>
      </c>
      <c r="M91" s="10">
        <v>0</v>
      </c>
      <c r="N91" s="10">
        <v>0</v>
      </c>
      <c r="O91" s="10">
        <v>0</v>
      </c>
      <c r="P91" s="10">
        <v>0</v>
      </c>
      <c r="Q91" s="1">
        <v>0</v>
      </c>
      <c r="R91" s="1">
        <v>0</v>
      </c>
      <c r="S91" s="1">
        <v>0</v>
      </c>
      <c r="T91" s="1">
        <v>0</v>
      </c>
      <c r="U91" s="1">
        <v>456001</v>
      </c>
      <c r="V91" s="1" t="s">
        <v>119</v>
      </c>
      <c r="W91" s="1" t="s">
        <v>33</v>
      </c>
      <c r="X91" t="s">
        <v>34</v>
      </c>
      <c r="Y91" s="16">
        <v>0</v>
      </c>
      <c r="Z91" s="16">
        <v>0</v>
      </c>
      <c r="AA91" s="15">
        <f t="shared" si="3"/>
        <v>0</v>
      </c>
      <c r="AC91" s="15">
        <f t="shared" si="4"/>
        <v>0</v>
      </c>
      <c r="AD91" s="15">
        <f t="shared" si="5"/>
        <v>0</v>
      </c>
      <c r="AE91">
        <v>6</v>
      </c>
    </row>
    <row r="92" spans="1:31" x14ac:dyDescent="0.2">
      <c r="A92" s="14">
        <v>1</v>
      </c>
      <c r="B92" s="11">
        <v>461001</v>
      </c>
      <c r="C92" s="11">
        <v>461001</v>
      </c>
      <c r="D92" s="11">
        <v>4</v>
      </c>
      <c r="E92" s="12"/>
      <c r="F92" s="13" t="s">
        <v>120</v>
      </c>
      <c r="G92" s="10">
        <v>0</v>
      </c>
      <c r="H92" s="10">
        <v>0</v>
      </c>
      <c r="I92" s="10">
        <v>0</v>
      </c>
      <c r="J92" s="10">
        <v>0</v>
      </c>
      <c r="K92" s="10">
        <v>5451.13</v>
      </c>
      <c r="L92" s="10">
        <v>5951.13</v>
      </c>
      <c r="M92" s="10">
        <v>5451.13</v>
      </c>
      <c r="N92" s="10">
        <v>5951.13</v>
      </c>
      <c r="O92" s="10">
        <v>0</v>
      </c>
      <c r="P92" s="10">
        <v>500</v>
      </c>
      <c r="Q92" s="1">
        <v>0</v>
      </c>
      <c r="R92" s="1">
        <v>0</v>
      </c>
      <c r="S92" s="1">
        <v>0</v>
      </c>
      <c r="T92" s="1">
        <v>500</v>
      </c>
      <c r="U92" s="1">
        <v>461001</v>
      </c>
      <c r="V92" s="1" t="s">
        <v>120</v>
      </c>
      <c r="W92" s="1" t="s">
        <v>33</v>
      </c>
      <c r="X92" t="s">
        <v>34</v>
      </c>
      <c r="Y92" s="16">
        <v>0</v>
      </c>
      <c r="Z92" s="16">
        <v>500</v>
      </c>
      <c r="AA92" s="15">
        <f t="shared" si="3"/>
        <v>0</v>
      </c>
      <c r="AC92" s="15">
        <f t="shared" si="4"/>
        <v>0</v>
      </c>
      <c r="AD92" s="15">
        <f t="shared" si="5"/>
        <v>-500</v>
      </c>
      <c r="AE92">
        <v>6</v>
      </c>
    </row>
    <row r="93" spans="1:31" x14ac:dyDescent="0.2">
      <c r="A93" s="14">
        <v>1</v>
      </c>
      <c r="B93" s="11">
        <v>461094</v>
      </c>
      <c r="C93" s="11">
        <v>461094</v>
      </c>
      <c r="D93" s="11">
        <v>4</v>
      </c>
      <c r="E93" s="12"/>
      <c r="F93" s="13" t="s">
        <v>121</v>
      </c>
      <c r="G93" s="10">
        <v>0</v>
      </c>
      <c r="H93" s="10">
        <v>0</v>
      </c>
      <c r="I93" s="10">
        <v>0</v>
      </c>
      <c r="J93" s="10">
        <v>0</v>
      </c>
      <c r="K93" s="10">
        <v>22322.32</v>
      </c>
      <c r="L93" s="10">
        <v>0</v>
      </c>
      <c r="M93" s="10">
        <v>22322.32</v>
      </c>
      <c r="N93" s="10">
        <v>0</v>
      </c>
      <c r="O93" s="10">
        <v>22322.32</v>
      </c>
      <c r="P93" s="10">
        <v>0</v>
      </c>
      <c r="Q93" s="1">
        <v>0</v>
      </c>
      <c r="R93" s="1">
        <v>0</v>
      </c>
      <c r="S93" s="1">
        <v>22322.32</v>
      </c>
      <c r="T93" s="1">
        <v>0</v>
      </c>
      <c r="U93" s="1">
        <v>461094</v>
      </c>
      <c r="V93" s="1" t="s">
        <v>121</v>
      </c>
      <c r="W93" s="1" t="s">
        <v>33</v>
      </c>
      <c r="X93" t="s">
        <v>34</v>
      </c>
      <c r="Y93" s="16">
        <v>22322.32</v>
      </c>
      <c r="Z93" s="16">
        <v>0</v>
      </c>
      <c r="AA93" s="15">
        <f t="shared" si="3"/>
        <v>0</v>
      </c>
      <c r="AC93" s="15">
        <f t="shared" si="4"/>
        <v>0</v>
      </c>
      <c r="AD93" s="15">
        <f t="shared" si="5"/>
        <v>22322.32</v>
      </c>
      <c r="AE93">
        <v>6</v>
      </c>
    </row>
    <row r="94" spans="1:31" x14ac:dyDescent="0.2">
      <c r="A94" s="14">
        <v>1</v>
      </c>
      <c r="B94" s="11">
        <v>461095</v>
      </c>
      <c r="C94" s="11">
        <v>461095</v>
      </c>
      <c r="D94" s="11">
        <v>4</v>
      </c>
      <c r="E94" s="12"/>
      <c r="F94" s="13" t="s">
        <v>122</v>
      </c>
      <c r="G94" s="10">
        <v>0</v>
      </c>
      <c r="H94" s="10">
        <v>0</v>
      </c>
      <c r="I94" s="10">
        <v>0</v>
      </c>
      <c r="J94" s="10">
        <v>0</v>
      </c>
      <c r="K94" s="10">
        <v>36700.67</v>
      </c>
      <c r="L94" s="10">
        <v>98</v>
      </c>
      <c r="M94" s="10">
        <v>36700.67</v>
      </c>
      <c r="N94" s="10">
        <v>98</v>
      </c>
      <c r="O94" s="10">
        <v>36602.67</v>
      </c>
      <c r="P94" s="10">
        <v>0</v>
      </c>
      <c r="Q94" s="1">
        <v>0</v>
      </c>
      <c r="R94" s="1">
        <v>0</v>
      </c>
      <c r="S94" s="1">
        <v>36602.67</v>
      </c>
      <c r="T94" s="1">
        <v>0</v>
      </c>
      <c r="U94" s="1">
        <v>461095</v>
      </c>
      <c r="V94" s="1" t="s">
        <v>122</v>
      </c>
      <c r="W94" s="1" t="s">
        <v>33</v>
      </c>
      <c r="X94" t="s">
        <v>34</v>
      </c>
      <c r="Y94" s="16">
        <v>36602.67</v>
      </c>
      <c r="Z94" s="16">
        <v>0</v>
      </c>
      <c r="AA94" s="15">
        <f t="shared" si="3"/>
        <v>0</v>
      </c>
      <c r="AC94" s="15">
        <f t="shared" si="4"/>
        <v>0</v>
      </c>
      <c r="AD94" s="15">
        <f t="shared" si="5"/>
        <v>36602.67</v>
      </c>
      <c r="AE94">
        <v>6</v>
      </c>
    </row>
    <row r="95" spans="1:31" x14ac:dyDescent="0.2">
      <c r="A95" s="14">
        <v>1</v>
      </c>
      <c r="B95" s="11">
        <v>461096</v>
      </c>
      <c r="C95" s="11">
        <v>461096</v>
      </c>
      <c r="D95" s="11">
        <v>4</v>
      </c>
      <c r="E95" s="12"/>
      <c r="F95" s="13" t="s">
        <v>123</v>
      </c>
      <c r="G95" s="10">
        <v>0</v>
      </c>
      <c r="H95" s="10">
        <v>0</v>
      </c>
      <c r="I95" s="10">
        <v>0</v>
      </c>
      <c r="J95" s="10">
        <v>0</v>
      </c>
      <c r="K95" s="10">
        <v>0</v>
      </c>
      <c r="L95" s="10">
        <v>0</v>
      </c>
      <c r="M95" s="10">
        <v>0</v>
      </c>
      <c r="N95" s="10">
        <v>0</v>
      </c>
      <c r="O95" s="10">
        <v>0</v>
      </c>
      <c r="P95" s="10">
        <v>0</v>
      </c>
      <c r="Q95" s="1">
        <v>0</v>
      </c>
      <c r="R95" s="1">
        <v>0</v>
      </c>
      <c r="S95" s="1">
        <v>0</v>
      </c>
      <c r="T95" s="1">
        <v>0</v>
      </c>
      <c r="U95" s="1">
        <v>461096</v>
      </c>
      <c r="V95" s="1" t="s">
        <v>123</v>
      </c>
      <c r="W95" s="1" t="s">
        <v>33</v>
      </c>
      <c r="X95" t="s">
        <v>34</v>
      </c>
      <c r="Y95" s="16">
        <v>0</v>
      </c>
      <c r="Z95" s="16">
        <v>0</v>
      </c>
      <c r="AA95" s="15">
        <f t="shared" si="3"/>
        <v>0</v>
      </c>
      <c r="AC95" s="15">
        <f t="shared" si="4"/>
        <v>0</v>
      </c>
      <c r="AD95" s="15">
        <f t="shared" si="5"/>
        <v>0</v>
      </c>
      <c r="AE95">
        <v>6</v>
      </c>
    </row>
    <row r="96" spans="1:31" x14ac:dyDescent="0.2">
      <c r="A96" s="14">
        <v>1</v>
      </c>
      <c r="B96" s="11">
        <v>461097</v>
      </c>
      <c r="C96" s="11">
        <v>461097</v>
      </c>
      <c r="D96" s="11">
        <v>4</v>
      </c>
      <c r="E96" s="12"/>
      <c r="F96" s="13" t="s">
        <v>124</v>
      </c>
      <c r="G96" s="10">
        <v>0</v>
      </c>
      <c r="H96" s="10">
        <v>0</v>
      </c>
      <c r="I96" s="10">
        <v>0</v>
      </c>
      <c r="J96" s="10">
        <v>0</v>
      </c>
      <c r="K96" s="10">
        <v>0</v>
      </c>
      <c r="L96" s="10">
        <v>0</v>
      </c>
      <c r="M96" s="10">
        <v>0</v>
      </c>
      <c r="N96" s="10">
        <v>0</v>
      </c>
      <c r="O96" s="10">
        <v>0</v>
      </c>
      <c r="P96" s="10">
        <v>0</v>
      </c>
      <c r="Q96" s="1">
        <v>0</v>
      </c>
      <c r="R96" s="1">
        <v>0</v>
      </c>
      <c r="S96" s="1">
        <v>0</v>
      </c>
      <c r="T96" s="1">
        <v>0</v>
      </c>
      <c r="U96" s="1">
        <v>461097</v>
      </c>
      <c r="V96" s="1" t="s">
        <v>124</v>
      </c>
      <c r="W96" s="1" t="s">
        <v>33</v>
      </c>
      <c r="X96" t="s">
        <v>34</v>
      </c>
      <c r="Y96" s="16">
        <v>0</v>
      </c>
      <c r="Z96" s="16">
        <v>0</v>
      </c>
      <c r="AA96" s="15">
        <f t="shared" si="3"/>
        <v>0</v>
      </c>
      <c r="AC96" s="15">
        <f t="shared" si="4"/>
        <v>0</v>
      </c>
      <c r="AD96" s="15">
        <f t="shared" si="5"/>
        <v>0</v>
      </c>
      <c r="AE96">
        <v>6</v>
      </c>
    </row>
    <row r="97" spans="1:31" x14ac:dyDescent="0.2">
      <c r="A97" s="14">
        <v>1</v>
      </c>
      <c r="B97" s="11">
        <v>461098</v>
      </c>
      <c r="C97" s="11">
        <v>461098</v>
      </c>
      <c r="D97" s="11">
        <v>4</v>
      </c>
      <c r="E97" s="12"/>
      <c r="F97" s="13" t="s">
        <v>125</v>
      </c>
      <c r="G97" s="10">
        <v>0</v>
      </c>
      <c r="H97" s="10">
        <v>0</v>
      </c>
      <c r="I97" s="10">
        <v>0</v>
      </c>
      <c r="J97" s="10">
        <v>0</v>
      </c>
      <c r="K97" s="10">
        <v>28256.5</v>
      </c>
      <c r="L97" s="10">
        <v>10125.6</v>
      </c>
      <c r="M97" s="10">
        <v>28256.5</v>
      </c>
      <c r="N97" s="10">
        <v>10125.6</v>
      </c>
      <c r="O97" s="10">
        <v>18130.900000000001</v>
      </c>
      <c r="P97" s="10">
        <v>0</v>
      </c>
      <c r="Q97" s="1">
        <v>0</v>
      </c>
      <c r="R97" s="1">
        <v>0</v>
      </c>
      <c r="S97" s="1">
        <v>18130.900000000001</v>
      </c>
      <c r="T97" s="1">
        <v>0</v>
      </c>
      <c r="U97" s="1">
        <v>461098</v>
      </c>
      <c r="V97" s="1" t="s">
        <v>125</v>
      </c>
      <c r="W97" s="1" t="s">
        <v>33</v>
      </c>
      <c r="X97" t="s">
        <v>34</v>
      </c>
      <c r="Y97" s="16">
        <v>18130.900000000001</v>
      </c>
      <c r="Z97" s="16">
        <v>0</v>
      </c>
      <c r="AA97" s="15">
        <f t="shared" si="3"/>
        <v>0</v>
      </c>
      <c r="AC97" s="15">
        <f t="shared" si="4"/>
        <v>0</v>
      </c>
      <c r="AD97" s="15">
        <f t="shared" si="5"/>
        <v>18130.900000000001</v>
      </c>
      <c r="AE97">
        <v>6</v>
      </c>
    </row>
    <row r="98" spans="1:31" x14ac:dyDescent="0.2">
      <c r="A98" s="14">
        <v>1</v>
      </c>
      <c r="B98" s="11">
        <v>461099</v>
      </c>
      <c r="C98" s="11">
        <v>461099</v>
      </c>
      <c r="D98" s="11">
        <v>4</v>
      </c>
      <c r="E98" s="12"/>
      <c r="F98" s="13" t="s">
        <v>126</v>
      </c>
      <c r="G98" s="10">
        <v>0</v>
      </c>
      <c r="H98" s="10">
        <v>0</v>
      </c>
      <c r="I98" s="10">
        <v>0</v>
      </c>
      <c r="J98" s="10">
        <v>0</v>
      </c>
      <c r="K98" s="10">
        <v>0</v>
      </c>
      <c r="L98" s="10">
        <v>0</v>
      </c>
      <c r="M98" s="10">
        <v>0</v>
      </c>
      <c r="N98" s="10">
        <v>0</v>
      </c>
      <c r="O98" s="10">
        <v>0</v>
      </c>
      <c r="P98" s="10">
        <v>0</v>
      </c>
      <c r="Q98" s="1">
        <v>0</v>
      </c>
      <c r="R98" s="1">
        <v>0</v>
      </c>
      <c r="S98" s="1">
        <v>0</v>
      </c>
      <c r="T98" s="1">
        <v>0</v>
      </c>
      <c r="U98" s="1">
        <v>461099</v>
      </c>
      <c r="V98" s="1" t="s">
        <v>126</v>
      </c>
      <c r="W98" s="1" t="s">
        <v>33</v>
      </c>
      <c r="X98" t="s">
        <v>34</v>
      </c>
      <c r="Y98" s="16">
        <v>0</v>
      </c>
      <c r="Z98" s="16">
        <v>0</v>
      </c>
      <c r="AA98" s="15">
        <f t="shared" si="3"/>
        <v>0</v>
      </c>
      <c r="AC98" s="15">
        <f t="shared" si="4"/>
        <v>0</v>
      </c>
      <c r="AD98" s="15">
        <f t="shared" si="5"/>
        <v>0</v>
      </c>
      <c r="AE98">
        <v>6</v>
      </c>
    </row>
    <row r="99" spans="1:31" x14ac:dyDescent="0.2">
      <c r="A99" s="14">
        <v>1</v>
      </c>
      <c r="B99" s="11">
        <v>461101</v>
      </c>
      <c r="C99" s="11">
        <v>461101</v>
      </c>
      <c r="D99" s="11">
        <v>4</v>
      </c>
      <c r="E99" s="12"/>
      <c r="F99" s="13" t="s">
        <v>127</v>
      </c>
      <c r="G99" s="10">
        <v>0</v>
      </c>
      <c r="H99" s="10">
        <v>0</v>
      </c>
      <c r="I99" s="10">
        <v>0</v>
      </c>
      <c r="J99" s="10">
        <v>0</v>
      </c>
      <c r="K99" s="10">
        <v>39705.85</v>
      </c>
      <c r="L99" s="10">
        <v>40454.28</v>
      </c>
      <c r="M99" s="10">
        <v>39705.85</v>
      </c>
      <c r="N99" s="10">
        <v>40454.28</v>
      </c>
      <c r="O99" s="10">
        <v>0</v>
      </c>
      <c r="P99" s="10">
        <v>748.43</v>
      </c>
      <c r="Q99" s="1">
        <v>0</v>
      </c>
      <c r="R99" s="1">
        <v>0</v>
      </c>
      <c r="S99" s="1">
        <v>0</v>
      </c>
      <c r="T99" s="1">
        <v>748.43</v>
      </c>
      <c r="U99" s="1">
        <v>461101</v>
      </c>
      <c r="V99" s="1" t="s">
        <v>127</v>
      </c>
      <c r="W99" s="1" t="s">
        <v>33</v>
      </c>
      <c r="X99" t="s">
        <v>34</v>
      </c>
      <c r="Y99" s="16">
        <v>0</v>
      </c>
      <c r="Z99" s="16">
        <v>748.43</v>
      </c>
      <c r="AA99" s="15">
        <f t="shared" si="3"/>
        <v>0</v>
      </c>
      <c r="AC99" s="15">
        <f t="shared" si="4"/>
        <v>0</v>
      </c>
      <c r="AD99" s="15">
        <f t="shared" si="5"/>
        <v>-748.43</v>
      </c>
      <c r="AE99">
        <v>6</v>
      </c>
    </row>
    <row r="100" spans="1:31" x14ac:dyDescent="0.2">
      <c r="A100" s="14">
        <v>1</v>
      </c>
      <c r="B100" s="11">
        <v>461200</v>
      </c>
      <c r="C100" s="11">
        <v>461200</v>
      </c>
      <c r="D100" s="11">
        <v>4</v>
      </c>
      <c r="E100" s="12"/>
      <c r="F100" s="13" t="s">
        <v>128</v>
      </c>
      <c r="G100" s="10">
        <v>0</v>
      </c>
      <c r="H100" s="10">
        <v>0</v>
      </c>
      <c r="I100" s="10">
        <v>0</v>
      </c>
      <c r="J100" s="10">
        <v>0</v>
      </c>
      <c r="K100" s="10">
        <v>1084785.6499999999</v>
      </c>
      <c r="L100" s="10">
        <v>922107.05</v>
      </c>
      <c r="M100" s="10">
        <v>1084785.6499999999</v>
      </c>
      <c r="N100" s="10">
        <v>922107.05</v>
      </c>
      <c r="O100" s="10">
        <v>162678.6</v>
      </c>
      <c r="P100" s="10">
        <v>0</v>
      </c>
      <c r="Q100" s="1">
        <v>0</v>
      </c>
      <c r="R100" s="1">
        <v>0</v>
      </c>
      <c r="S100" s="1">
        <v>162678.6</v>
      </c>
      <c r="T100" s="1">
        <v>0</v>
      </c>
      <c r="U100" s="1">
        <v>461200</v>
      </c>
      <c r="V100" s="1" t="s">
        <v>128</v>
      </c>
      <c r="W100" s="1" t="s">
        <v>33</v>
      </c>
      <c r="X100" t="s">
        <v>34</v>
      </c>
      <c r="Y100" s="16">
        <v>162678.6</v>
      </c>
      <c r="Z100" s="16">
        <v>0</v>
      </c>
      <c r="AA100" s="15">
        <f t="shared" si="3"/>
        <v>0</v>
      </c>
      <c r="AC100" s="15">
        <f t="shared" si="4"/>
        <v>0</v>
      </c>
      <c r="AD100" s="15">
        <f t="shared" si="5"/>
        <v>162678.6</v>
      </c>
      <c r="AE100">
        <v>6</v>
      </c>
    </row>
    <row r="101" spans="1:31" x14ac:dyDescent="0.2">
      <c r="A101" s="14">
        <v>1</v>
      </c>
      <c r="B101" s="11">
        <v>461201</v>
      </c>
      <c r="C101" s="11">
        <v>461201</v>
      </c>
      <c r="D101" s="11">
        <v>4</v>
      </c>
      <c r="E101" s="12"/>
      <c r="F101" s="13" t="s">
        <v>129</v>
      </c>
      <c r="G101" s="10">
        <v>0</v>
      </c>
      <c r="H101" s="10">
        <v>0</v>
      </c>
      <c r="I101" s="10">
        <v>0</v>
      </c>
      <c r="J101" s="10">
        <v>0</v>
      </c>
      <c r="K101" s="10">
        <v>23100.95</v>
      </c>
      <c r="L101" s="10">
        <v>23100.95</v>
      </c>
      <c r="M101" s="10">
        <v>23100.95</v>
      </c>
      <c r="N101" s="10">
        <v>23100.95</v>
      </c>
      <c r="O101" s="10">
        <v>0</v>
      </c>
      <c r="P101" s="10">
        <v>0</v>
      </c>
      <c r="Q101" s="1">
        <v>0</v>
      </c>
      <c r="R101" s="1">
        <v>0</v>
      </c>
      <c r="S101" s="1">
        <v>0</v>
      </c>
      <c r="T101" s="1">
        <v>0</v>
      </c>
      <c r="U101" s="1">
        <v>461201</v>
      </c>
      <c r="V101" s="1" t="s">
        <v>129</v>
      </c>
      <c r="W101" s="1" t="s">
        <v>33</v>
      </c>
      <c r="X101" t="s">
        <v>34</v>
      </c>
      <c r="Y101" s="16">
        <v>0</v>
      </c>
      <c r="Z101" s="16">
        <v>0</v>
      </c>
      <c r="AA101" s="15">
        <f t="shared" si="3"/>
        <v>0</v>
      </c>
      <c r="AC101" s="15">
        <f t="shared" si="4"/>
        <v>0</v>
      </c>
      <c r="AD101" s="15">
        <f t="shared" si="5"/>
        <v>0</v>
      </c>
      <c r="AE101">
        <v>6</v>
      </c>
    </row>
    <row r="102" spans="1:31" x14ac:dyDescent="0.2">
      <c r="A102" s="14">
        <v>1</v>
      </c>
      <c r="B102" s="11">
        <v>461202</v>
      </c>
      <c r="C102" s="11">
        <v>461202</v>
      </c>
      <c r="D102" s="11">
        <v>4</v>
      </c>
      <c r="E102" s="12"/>
      <c r="F102" s="13" t="s">
        <v>130</v>
      </c>
      <c r="G102" s="10">
        <v>0</v>
      </c>
      <c r="H102" s="10">
        <v>0</v>
      </c>
      <c r="I102" s="10">
        <v>0</v>
      </c>
      <c r="J102" s="10">
        <v>0</v>
      </c>
      <c r="K102" s="10">
        <v>504.99</v>
      </c>
      <c r="L102" s="10">
        <v>504.99</v>
      </c>
      <c r="M102" s="10">
        <v>504.99</v>
      </c>
      <c r="N102" s="10">
        <v>504.99</v>
      </c>
      <c r="O102" s="10">
        <v>0</v>
      </c>
      <c r="P102" s="10">
        <v>0</v>
      </c>
      <c r="Q102" s="1">
        <v>0</v>
      </c>
      <c r="R102" s="1">
        <v>0</v>
      </c>
      <c r="S102" s="1">
        <v>0</v>
      </c>
      <c r="T102" s="1">
        <v>0</v>
      </c>
      <c r="U102" s="1">
        <v>461202</v>
      </c>
      <c r="V102" s="1" t="s">
        <v>130</v>
      </c>
      <c r="W102" s="1" t="s">
        <v>33</v>
      </c>
      <c r="X102" t="s">
        <v>34</v>
      </c>
      <c r="Y102" s="16">
        <v>0</v>
      </c>
      <c r="Z102" s="16">
        <v>0</v>
      </c>
      <c r="AA102" s="15">
        <f t="shared" si="3"/>
        <v>0</v>
      </c>
      <c r="AC102" s="15">
        <f t="shared" si="4"/>
        <v>0</v>
      </c>
      <c r="AD102" s="15">
        <f t="shared" si="5"/>
        <v>0</v>
      </c>
      <c r="AE102">
        <v>6</v>
      </c>
    </row>
    <row r="103" spans="1:31" x14ac:dyDescent="0.2">
      <c r="A103" s="14">
        <v>1</v>
      </c>
      <c r="B103" s="11">
        <v>461203</v>
      </c>
      <c r="C103" s="11">
        <v>461203</v>
      </c>
      <c r="D103" s="11">
        <v>4</v>
      </c>
      <c r="E103" s="12"/>
      <c r="F103" s="13" t="s">
        <v>131</v>
      </c>
      <c r="G103" s="10">
        <v>0</v>
      </c>
      <c r="H103" s="10">
        <v>0</v>
      </c>
      <c r="I103" s="10">
        <v>0</v>
      </c>
      <c r="J103" s="10">
        <v>0</v>
      </c>
      <c r="K103" s="10">
        <v>297107.92</v>
      </c>
      <c r="L103" s="10">
        <v>0</v>
      </c>
      <c r="M103" s="10">
        <v>297107.92</v>
      </c>
      <c r="N103" s="10">
        <v>0</v>
      </c>
      <c r="O103" s="10">
        <v>297107.92</v>
      </c>
      <c r="P103" s="10">
        <v>0</v>
      </c>
      <c r="Q103" s="1">
        <v>0</v>
      </c>
      <c r="R103" s="1">
        <v>0</v>
      </c>
      <c r="S103" s="1">
        <v>297107.92</v>
      </c>
      <c r="T103" s="1">
        <v>0</v>
      </c>
      <c r="U103" s="1">
        <v>461203</v>
      </c>
      <c r="V103" s="1" t="s">
        <v>131</v>
      </c>
      <c r="W103" s="1" t="s">
        <v>33</v>
      </c>
      <c r="X103" t="s">
        <v>34</v>
      </c>
      <c r="Y103" s="16">
        <v>297107.92</v>
      </c>
      <c r="Z103" s="16">
        <v>0</v>
      </c>
      <c r="AA103" s="15">
        <f t="shared" si="3"/>
        <v>0</v>
      </c>
      <c r="AC103" s="15">
        <f t="shared" si="4"/>
        <v>0</v>
      </c>
      <c r="AD103" s="15">
        <f t="shared" si="5"/>
        <v>297107.92</v>
      </c>
      <c r="AE103">
        <v>6</v>
      </c>
    </row>
    <row r="104" spans="1:31" x14ac:dyDescent="0.2">
      <c r="A104" s="14">
        <v>1</v>
      </c>
      <c r="B104" s="11">
        <v>461204</v>
      </c>
      <c r="C104" s="11">
        <v>461204</v>
      </c>
      <c r="D104" s="11">
        <v>4</v>
      </c>
      <c r="E104" s="12"/>
      <c r="F104" s="13" t="s">
        <v>132</v>
      </c>
      <c r="G104" s="10">
        <v>0</v>
      </c>
      <c r="H104" s="10">
        <v>0</v>
      </c>
      <c r="I104" s="10">
        <v>0</v>
      </c>
      <c r="J104" s="10">
        <v>0</v>
      </c>
      <c r="K104" s="10">
        <v>2310.8000000000002</v>
      </c>
      <c r="L104" s="10">
        <v>2310.8000000000002</v>
      </c>
      <c r="M104" s="10">
        <v>2310.8000000000002</v>
      </c>
      <c r="N104" s="10">
        <v>2310.8000000000002</v>
      </c>
      <c r="O104" s="10">
        <v>0</v>
      </c>
      <c r="P104" s="10">
        <v>0</v>
      </c>
      <c r="Q104" s="1">
        <v>0</v>
      </c>
      <c r="R104" s="1">
        <v>0</v>
      </c>
      <c r="S104" s="1">
        <v>0</v>
      </c>
      <c r="T104" s="1">
        <v>0</v>
      </c>
      <c r="U104" s="1">
        <v>461204</v>
      </c>
      <c r="V104" s="1" t="s">
        <v>132</v>
      </c>
      <c r="W104" s="1" t="s">
        <v>33</v>
      </c>
      <c r="X104" t="s">
        <v>34</v>
      </c>
      <c r="Y104" s="16">
        <v>0</v>
      </c>
      <c r="Z104" s="16">
        <v>0</v>
      </c>
      <c r="AA104" s="15">
        <f t="shared" si="3"/>
        <v>0</v>
      </c>
      <c r="AC104" s="15">
        <f t="shared" si="4"/>
        <v>0</v>
      </c>
      <c r="AD104" s="15">
        <f t="shared" si="5"/>
        <v>0</v>
      </c>
      <c r="AE104">
        <v>6</v>
      </c>
    </row>
    <row r="105" spans="1:31" x14ac:dyDescent="0.2">
      <c r="A105" s="14">
        <v>1</v>
      </c>
      <c r="B105" s="11">
        <v>461205</v>
      </c>
      <c r="C105" s="11">
        <v>461205</v>
      </c>
      <c r="D105" s="11">
        <v>4</v>
      </c>
      <c r="E105" s="12"/>
      <c r="F105" s="13" t="s">
        <v>133</v>
      </c>
      <c r="G105" s="10">
        <v>0</v>
      </c>
      <c r="H105" s="10">
        <v>0</v>
      </c>
      <c r="I105" s="10">
        <v>0</v>
      </c>
      <c r="J105" s="10">
        <v>0</v>
      </c>
      <c r="K105" s="10">
        <v>0</v>
      </c>
      <c r="L105" s="10">
        <v>0</v>
      </c>
      <c r="M105" s="10">
        <v>0</v>
      </c>
      <c r="N105" s="10">
        <v>0</v>
      </c>
      <c r="O105" s="10">
        <v>0</v>
      </c>
      <c r="P105" s="10">
        <v>0</v>
      </c>
      <c r="Q105" s="1">
        <v>0</v>
      </c>
      <c r="R105" s="1">
        <v>0</v>
      </c>
      <c r="S105" s="1">
        <v>0</v>
      </c>
      <c r="T105" s="1">
        <v>0</v>
      </c>
      <c r="U105" s="1">
        <v>461205</v>
      </c>
      <c r="V105" s="1" t="s">
        <v>133</v>
      </c>
      <c r="W105" s="1" t="s">
        <v>33</v>
      </c>
      <c r="X105" t="s">
        <v>34</v>
      </c>
      <c r="Y105" s="16">
        <v>0</v>
      </c>
      <c r="Z105" s="16">
        <v>0</v>
      </c>
      <c r="AA105" s="15">
        <f t="shared" si="3"/>
        <v>0</v>
      </c>
      <c r="AC105" s="15">
        <f t="shared" si="4"/>
        <v>0</v>
      </c>
      <c r="AD105" s="15">
        <f t="shared" si="5"/>
        <v>0</v>
      </c>
      <c r="AE105">
        <v>6</v>
      </c>
    </row>
    <row r="106" spans="1:31" x14ac:dyDescent="0.2">
      <c r="A106" s="14">
        <v>1</v>
      </c>
      <c r="B106" s="11">
        <v>462000</v>
      </c>
      <c r="C106" s="11">
        <v>462000</v>
      </c>
      <c r="D106" s="11">
        <v>4</v>
      </c>
      <c r="E106" s="12"/>
      <c r="F106" s="13" t="s">
        <v>134</v>
      </c>
      <c r="G106" s="10">
        <v>0</v>
      </c>
      <c r="H106" s="10">
        <v>0</v>
      </c>
      <c r="I106" s="10">
        <v>0</v>
      </c>
      <c r="J106" s="10">
        <v>0</v>
      </c>
      <c r="K106" s="10">
        <v>1015.68</v>
      </c>
      <c r="L106" s="10">
        <v>1015.68</v>
      </c>
      <c r="M106" s="10">
        <v>1015.68</v>
      </c>
      <c r="N106" s="10">
        <v>1015.68</v>
      </c>
      <c r="O106" s="10">
        <v>0</v>
      </c>
      <c r="P106" s="10">
        <v>0</v>
      </c>
      <c r="Q106" s="1">
        <v>0</v>
      </c>
      <c r="R106" s="1">
        <v>0</v>
      </c>
      <c r="S106" s="1">
        <v>0</v>
      </c>
      <c r="T106" s="1">
        <v>0</v>
      </c>
      <c r="U106" s="1">
        <v>462000</v>
      </c>
      <c r="V106" s="1" t="s">
        <v>134</v>
      </c>
      <c r="W106" s="1" t="s">
        <v>33</v>
      </c>
      <c r="X106" t="s">
        <v>34</v>
      </c>
      <c r="Y106" s="16">
        <v>0</v>
      </c>
      <c r="Z106" s="16">
        <v>0</v>
      </c>
      <c r="AA106" s="15">
        <f t="shared" si="3"/>
        <v>0</v>
      </c>
      <c r="AC106" s="15">
        <f t="shared" si="4"/>
        <v>0</v>
      </c>
      <c r="AD106" s="15">
        <f t="shared" si="5"/>
        <v>0</v>
      </c>
      <c r="AE106">
        <v>15</v>
      </c>
    </row>
    <row r="107" spans="1:31" x14ac:dyDescent="0.2">
      <c r="A107" s="14">
        <v>1</v>
      </c>
      <c r="B107" s="11">
        <v>462013</v>
      </c>
      <c r="C107" s="11">
        <v>462013</v>
      </c>
      <c r="D107" s="11">
        <v>4</v>
      </c>
      <c r="E107" s="12"/>
      <c r="F107" s="13" t="s">
        <v>135</v>
      </c>
      <c r="G107" s="10">
        <v>0</v>
      </c>
      <c r="H107" s="10">
        <v>0</v>
      </c>
      <c r="I107" s="10">
        <v>0</v>
      </c>
      <c r="J107" s="10">
        <v>0</v>
      </c>
      <c r="K107" s="10">
        <v>0</v>
      </c>
      <c r="L107" s="10">
        <v>0</v>
      </c>
      <c r="M107" s="10">
        <v>0</v>
      </c>
      <c r="N107" s="10">
        <v>0</v>
      </c>
      <c r="O107" s="10">
        <v>0</v>
      </c>
      <c r="P107" s="10">
        <v>0</v>
      </c>
      <c r="Q107" s="1">
        <v>0</v>
      </c>
      <c r="R107" s="1">
        <v>0</v>
      </c>
      <c r="S107" s="1">
        <v>0</v>
      </c>
      <c r="T107" s="1">
        <v>0</v>
      </c>
      <c r="U107" s="1">
        <v>462013</v>
      </c>
      <c r="V107" s="1" t="s">
        <v>135</v>
      </c>
      <c r="W107" s="1" t="s">
        <v>33</v>
      </c>
      <c r="X107" t="s">
        <v>34</v>
      </c>
      <c r="Y107" s="16">
        <v>0</v>
      </c>
      <c r="Z107" s="16">
        <v>0</v>
      </c>
      <c r="AA107" s="15">
        <f t="shared" si="3"/>
        <v>0</v>
      </c>
      <c r="AC107" s="15">
        <f t="shared" si="4"/>
        <v>0</v>
      </c>
      <c r="AD107" s="15">
        <f t="shared" si="5"/>
        <v>0</v>
      </c>
      <c r="AE107">
        <v>15</v>
      </c>
    </row>
    <row r="108" spans="1:31" x14ac:dyDescent="0.2">
      <c r="A108" s="14">
        <v>1</v>
      </c>
      <c r="B108" s="11">
        <v>462016</v>
      </c>
      <c r="C108" s="11">
        <v>462016</v>
      </c>
      <c r="D108" s="11">
        <v>4</v>
      </c>
      <c r="E108" s="12"/>
      <c r="F108" s="13" t="s">
        <v>136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0">
        <v>0</v>
      </c>
      <c r="Q108" s="1">
        <v>0</v>
      </c>
      <c r="R108" s="1">
        <v>0</v>
      </c>
      <c r="S108" s="1">
        <v>0</v>
      </c>
      <c r="T108" s="1">
        <v>0</v>
      </c>
      <c r="U108" s="1">
        <v>462016</v>
      </c>
      <c r="V108" s="1" t="s">
        <v>136</v>
      </c>
      <c r="W108" s="1" t="s">
        <v>33</v>
      </c>
      <c r="X108" t="s">
        <v>34</v>
      </c>
      <c r="Y108" s="16">
        <v>0</v>
      </c>
      <c r="Z108" s="16">
        <v>0</v>
      </c>
      <c r="AA108" s="15">
        <f t="shared" si="3"/>
        <v>0</v>
      </c>
      <c r="AC108" s="15">
        <f t="shared" si="4"/>
        <v>0</v>
      </c>
      <c r="AD108" s="15">
        <f t="shared" si="5"/>
        <v>0</v>
      </c>
      <c r="AE108">
        <v>15</v>
      </c>
    </row>
    <row r="109" spans="1:31" x14ac:dyDescent="0.2">
      <c r="A109" s="14">
        <v>1</v>
      </c>
      <c r="B109" s="11">
        <v>462020</v>
      </c>
      <c r="C109" s="11">
        <v>462020</v>
      </c>
      <c r="D109" s="11">
        <v>4</v>
      </c>
      <c r="E109" s="12"/>
      <c r="F109" s="13" t="s">
        <v>137</v>
      </c>
      <c r="G109" s="10">
        <v>0</v>
      </c>
      <c r="H109" s="10">
        <v>0</v>
      </c>
      <c r="I109" s="10">
        <v>0</v>
      </c>
      <c r="J109" s="10">
        <v>0</v>
      </c>
      <c r="K109" s="10">
        <v>0</v>
      </c>
      <c r="L109" s="10">
        <v>0</v>
      </c>
      <c r="M109" s="10">
        <v>0</v>
      </c>
      <c r="N109" s="10">
        <v>0</v>
      </c>
      <c r="O109" s="10">
        <v>0</v>
      </c>
      <c r="P109" s="10">
        <v>0</v>
      </c>
      <c r="Q109" s="1">
        <v>0</v>
      </c>
      <c r="R109" s="1">
        <v>0</v>
      </c>
      <c r="S109" s="1">
        <v>0</v>
      </c>
      <c r="T109" s="1">
        <v>0</v>
      </c>
      <c r="U109" s="1">
        <v>462020</v>
      </c>
      <c r="V109" s="1" t="s">
        <v>137</v>
      </c>
      <c r="W109" s="1" t="s">
        <v>33</v>
      </c>
      <c r="X109" t="s">
        <v>34</v>
      </c>
      <c r="Y109" s="16">
        <v>0</v>
      </c>
      <c r="Z109" s="16">
        <v>0</v>
      </c>
      <c r="AA109" s="15">
        <f t="shared" si="3"/>
        <v>0</v>
      </c>
      <c r="AC109" s="15">
        <f t="shared" si="4"/>
        <v>0</v>
      </c>
      <c r="AD109" s="15">
        <f t="shared" si="5"/>
        <v>0</v>
      </c>
      <c r="AE109">
        <v>15</v>
      </c>
    </row>
    <row r="110" spans="1:31" x14ac:dyDescent="0.2">
      <c r="A110" s="14">
        <v>1</v>
      </c>
      <c r="B110" s="11">
        <v>462050</v>
      </c>
      <c r="C110" s="11">
        <v>462050</v>
      </c>
      <c r="D110" s="11">
        <v>4</v>
      </c>
      <c r="E110" s="12"/>
      <c r="F110" s="13" t="s">
        <v>138</v>
      </c>
      <c r="G110" s="10">
        <v>0</v>
      </c>
      <c r="H110" s="10">
        <v>0</v>
      </c>
      <c r="I110" s="10">
        <v>0</v>
      </c>
      <c r="J110" s="10">
        <v>0</v>
      </c>
      <c r="K110" s="10">
        <v>0</v>
      </c>
      <c r="L110" s="10">
        <v>11549.99</v>
      </c>
      <c r="M110" s="10">
        <v>0</v>
      </c>
      <c r="N110" s="10">
        <v>11549.99</v>
      </c>
      <c r="O110" s="10">
        <v>0</v>
      </c>
      <c r="P110" s="10">
        <v>11549.99</v>
      </c>
      <c r="Q110" s="1">
        <v>0</v>
      </c>
      <c r="R110" s="1">
        <v>0</v>
      </c>
      <c r="S110" s="1">
        <v>0</v>
      </c>
      <c r="T110" s="1">
        <v>11549.99</v>
      </c>
      <c r="U110" s="1">
        <v>462050</v>
      </c>
      <c r="V110" s="1" t="s">
        <v>138</v>
      </c>
      <c r="W110" s="1" t="s">
        <v>33</v>
      </c>
      <c r="X110" t="s">
        <v>34</v>
      </c>
      <c r="Y110" s="16">
        <v>0</v>
      </c>
      <c r="Z110" s="16">
        <v>11549.99</v>
      </c>
      <c r="AA110" s="15">
        <f t="shared" si="3"/>
        <v>0</v>
      </c>
      <c r="AC110" s="15">
        <f t="shared" si="4"/>
        <v>0</v>
      </c>
      <c r="AD110" s="15">
        <f t="shared" si="5"/>
        <v>-11549.99</v>
      </c>
      <c r="AE110">
        <v>15</v>
      </c>
    </row>
    <row r="111" spans="1:31" x14ac:dyDescent="0.2">
      <c r="A111" s="14">
        <v>1</v>
      </c>
      <c r="B111" s="11">
        <v>462051</v>
      </c>
      <c r="C111" s="11">
        <v>462051</v>
      </c>
      <c r="D111" s="11">
        <v>4</v>
      </c>
      <c r="E111" s="12"/>
      <c r="F111" s="13" t="s">
        <v>139</v>
      </c>
      <c r="G111" s="10">
        <v>0</v>
      </c>
      <c r="H111" s="10">
        <v>0</v>
      </c>
      <c r="I111" s="10">
        <v>0</v>
      </c>
      <c r="J111" s="10">
        <v>0</v>
      </c>
      <c r="K111" s="10">
        <v>599336.31000000006</v>
      </c>
      <c r="L111" s="10">
        <v>602590.13</v>
      </c>
      <c r="M111" s="10">
        <v>599336.31000000006</v>
      </c>
      <c r="N111" s="10">
        <v>602590.13</v>
      </c>
      <c r="O111" s="10">
        <v>0</v>
      </c>
      <c r="P111" s="10">
        <v>3253.82</v>
      </c>
      <c r="Q111" s="1">
        <v>0</v>
      </c>
      <c r="R111" s="1">
        <v>0</v>
      </c>
      <c r="S111" s="1">
        <v>0</v>
      </c>
      <c r="T111" s="1">
        <v>3253.82</v>
      </c>
      <c r="U111" s="1">
        <v>462051</v>
      </c>
      <c r="V111" s="1" t="s">
        <v>139</v>
      </c>
      <c r="W111" s="1" t="s">
        <v>33</v>
      </c>
      <c r="X111" t="s">
        <v>34</v>
      </c>
      <c r="Y111" s="16">
        <v>0</v>
      </c>
      <c r="Z111" s="16">
        <v>3253.82</v>
      </c>
      <c r="AA111" s="15">
        <f t="shared" si="3"/>
        <v>0</v>
      </c>
      <c r="AC111" s="15">
        <f t="shared" si="4"/>
        <v>0</v>
      </c>
      <c r="AD111" s="15">
        <f t="shared" si="5"/>
        <v>-3253.82</v>
      </c>
      <c r="AE111">
        <v>15</v>
      </c>
    </row>
    <row r="112" spans="1:31" x14ac:dyDescent="0.2">
      <c r="A112" s="14">
        <v>1</v>
      </c>
      <c r="B112" s="11">
        <v>462052</v>
      </c>
      <c r="C112" s="11">
        <v>462052</v>
      </c>
      <c r="D112" s="11">
        <v>4</v>
      </c>
      <c r="E112" s="12"/>
      <c r="F112" s="13" t="s">
        <v>140</v>
      </c>
      <c r="G112" s="10">
        <v>0</v>
      </c>
      <c r="H112" s="10">
        <v>0</v>
      </c>
      <c r="I112" s="10">
        <v>0</v>
      </c>
      <c r="J112" s="10">
        <v>0</v>
      </c>
      <c r="K112" s="10">
        <v>1474230.78</v>
      </c>
      <c r="L112" s="10">
        <v>1624492.39</v>
      </c>
      <c r="M112" s="10">
        <v>1474230.78</v>
      </c>
      <c r="N112" s="10">
        <v>1624492.39</v>
      </c>
      <c r="O112" s="10">
        <v>0</v>
      </c>
      <c r="P112" s="10">
        <v>150261.60999999999</v>
      </c>
      <c r="Q112" s="1">
        <v>0</v>
      </c>
      <c r="R112" s="1">
        <v>0</v>
      </c>
      <c r="S112" s="1">
        <v>0</v>
      </c>
      <c r="T112" s="1">
        <v>150261.60999999999</v>
      </c>
      <c r="U112" s="1">
        <v>462052</v>
      </c>
      <c r="V112" s="1" t="s">
        <v>140</v>
      </c>
      <c r="W112" s="1" t="s">
        <v>33</v>
      </c>
      <c r="X112" t="s">
        <v>34</v>
      </c>
      <c r="Y112" s="16">
        <v>0</v>
      </c>
      <c r="Z112" s="16">
        <v>150261.60999999999</v>
      </c>
      <c r="AA112" s="15">
        <f t="shared" si="3"/>
        <v>0</v>
      </c>
      <c r="AC112" s="15">
        <f t="shared" si="4"/>
        <v>0</v>
      </c>
      <c r="AD112" s="15">
        <f t="shared" si="5"/>
        <v>-150261.60999999999</v>
      </c>
      <c r="AE112">
        <v>15</v>
      </c>
    </row>
    <row r="113" spans="1:31" x14ac:dyDescent="0.2">
      <c r="A113" s="14">
        <v>1</v>
      </c>
      <c r="B113" s="11">
        <v>462053</v>
      </c>
      <c r="C113" s="11">
        <v>462053</v>
      </c>
      <c r="D113" s="11">
        <v>4</v>
      </c>
      <c r="E113" s="12"/>
      <c r="F113" s="13" t="s">
        <v>141</v>
      </c>
      <c r="G113" s="10">
        <v>0</v>
      </c>
      <c r="H113" s="10">
        <v>0</v>
      </c>
      <c r="I113" s="10">
        <v>0</v>
      </c>
      <c r="J113" s="10">
        <v>0</v>
      </c>
      <c r="K113" s="10">
        <v>268128.46000000002</v>
      </c>
      <c r="L113" s="10">
        <v>268128.46000000002</v>
      </c>
      <c r="M113" s="10">
        <v>268128.46000000002</v>
      </c>
      <c r="N113" s="10">
        <v>268128.46000000002</v>
      </c>
      <c r="O113" s="10">
        <v>0</v>
      </c>
      <c r="P113" s="10">
        <v>0</v>
      </c>
      <c r="Q113" s="1">
        <v>0</v>
      </c>
      <c r="R113" s="1">
        <v>0</v>
      </c>
      <c r="S113" s="1">
        <v>0</v>
      </c>
      <c r="T113" s="1">
        <v>0</v>
      </c>
      <c r="U113" s="1">
        <v>462053</v>
      </c>
      <c r="V113" s="1" t="s">
        <v>141</v>
      </c>
      <c r="W113" s="1" t="s">
        <v>33</v>
      </c>
      <c r="X113" t="s">
        <v>34</v>
      </c>
      <c r="Y113" s="16">
        <v>0</v>
      </c>
      <c r="Z113" s="16">
        <v>0</v>
      </c>
      <c r="AA113" s="15">
        <f t="shared" si="3"/>
        <v>0</v>
      </c>
      <c r="AC113" s="15">
        <f t="shared" si="4"/>
        <v>0</v>
      </c>
      <c r="AD113" s="15">
        <f t="shared" si="5"/>
        <v>0</v>
      </c>
      <c r="AE113">
        <v>15</v>
      </c>
    </row>
    <row r="114" spans="1:31" x14ac:dyDescent="0.2">
      <c r="A114" s="14">
        <v>1</v>
      </c>
      <c r="B114" s="11">
        <v>462054</v>
      </c>
      <c r="C114" s="11">
        <v>462054</v>
      </c>
      <c r="D114" s="11">
        <v>4</v>
      </c>
      <c r="E114" s="12"/>
      <c r="F114" s="13" t="s">
        <v>142</v>
      </c>
      <c r="G114" s="10">
        <v>0</v>
      </c>
      <c r="H114" s="10">
        <v>0</v>
      </c>
      <c r="I114" s="10">
        <v>0</v>
      </c>
      <c r="J114" s="10">
        <v>0</v>
      </c>
      <c r="K114" s="10">
        <v>133344</v>
      </c>
      <c r="L114" s="10">
        <v>428348.33</v>
      </c>
      <c r="M114" s="10">
        <v>133344</v>
      </c>
      <c r="N114" s="10">
        <v>428348.33</v>
      </c>
      <c r="O114" s="10">
        <v>0</v>
      </c>
      <c r="P114" s="10">
        <v>295004.33</v>
      </c>
      <c r="Q114" s="1">
        <v>0</v>
      </c>
      <c r="R114" s="1">
        <v>0</v>
      </c>
      <c r="S114" s="1">
        <v>0</v>
      </c>
      <c r="T114" s="1">
        <v>295004.33</v>
      </c>
      <c r="U114" s="1">
        <v>462054</v>
      </c>
      <c r="V114" s="1" t="s">
        <v>142</v>
      </c>
      <c r="W114" s="1" t="s">
        <v>33</v>
      </c>
      <c r="X114" t="s">
        <v>34</v>
      </c>
      <c r="Y114" s="16">
        <v>0</v>
      </c>
      <c r="Z114" s="16">
        <v>295004.33</v>
      </c>
      <c r="AA114" s="15">
        <f t="shared" si="3"/>
        <v>0</v>
      </c>
      <c r="AC114" s="15">
        <f t="shared" si="4"/>
        <v>0</v>
      </c>
      <c r="AD114" s="15">
        <f t="shared" si="5"/>
        <v>-295004.33</v>
      </c>
      <c r="AE114">
        <v>15</v>
      </c>
    </row>
    <row r="115" spans="1:31" x14ac:dyDescent="0.2">
      <c r="A115" s="14">
        <v>1</v>
      </c>
      <c r="B115" s="11">
        <v>462055</v>
      </c>
      <c r="C115" s="11">
        <v>462055</v>
      </c>
      <c r="D115" s="11">
        <v>4</v>
      </c>
      <c r="E115" s="12"/>
      <c r="F115" s="13" t="s">
        <v>143</v>
      </c>
      <c r="G115" s="10">
        <v>0</v>
      </c>
      <c r="H115" s="10">
        <v>0</v>
      </c>
      <c r="I115" s="10">
        <v>0</v>
      </c>
      <c r="J115" s="10">
        <v>0</v>
      </c>
      <c r="K115" s="10">
        <v>177318.03</v>
      </c>
      <c r="L115" s="10">
        <v>177318.03</v>
      </c>
      <c r="M115" s="10">
        <v>177318.03</v>
      </c>
      <c r="N115" s="10">
        <v>177318.03</v>
      </c>
      <c r="O115" s="10">
        <v>0</v>
      </c>
      <c r="P115" s="10">
        <v>0</v>
      </c>
      <c r="Q115" s="1">
        <v>0</v>
      </c>
      <c r="R115" s="1">
        <v>0</v>
      </c>
      <c r="S115" s="1">
        <v>0</v>
      </c>
      <c r="T115" s="1">
        <v>0</v>
      </c>
      <c r="U115" s="1">
        <v>462055</v>
      </c>
      <c r="V115" s="1" t="s">
        <v>143</v>
      </c>
      <c r="W115" s="1" t="s">
        <v>33</v>
      </c>
      <c r="X115" t="s">
        <v>34</v>
      </c>
      <c r="Y115" s="16">
        <v>0</v>
      </c>
      <c r="Z115" s="16">
        <v>0</v>
      </c>
      <c r="AA115" s="15">
        <f t="shared" si="3"/>
        <v>0</v>
      </c>
      <c r="AC115" s="15">
        <f t="shared" si="4"/>
        <v>0</v>
      </c>
      <c r="AD115" s="15">
        <f t="shared" si="5"/>
        <v>0</v>
      </c>
      <c r="AE115">
        <v>15</v>
      </c>
    </row>
    <row r="116" spans="1:31" x14ac:dyDescent="0.2">
      <c r="A116" s="14">
        <v>1</v>
      </c>
      <c r="B116" s="11">
        <v>471000</v>
      </c>
      <c r="C116" s="11">
        <v>471000</v>
      </c>
      <c r="D116" s="11">
        <v>4</v>
      </c>
      <c r="E116" s="12"/>
      <c r="F116" s="13" t="s">
        <v>144</v>
      </c>
      <c r="G116" s="10">
        <v>0</v>
      </c>
      <c r="H116" s="10">
        <v>0</v>
      </c>
      <c r="I116" s="10">
        <v>0</v>
      </c>
      <c r="J116" s="10">
        <v>0</v>
      </c>
      <c r="K116" s="10">
        <v>0</v>
      </c>
      <c r="L116" s="10">
        <v>0</v>
      </c>
      <c r="M116" s="10">
        <v>0</v>
      </c>
      <c r="N116" s="10">
        <v>0</v>
      </c>
      <c r="O116" s="10">
        <v>0</v>
      </c>
      <c r="P116" s="10">
        <v>0</v>
      </c>
      <c r="Q116" s="1">
        <v>0</v>
      </c>
      <c r="R116" s="1">
        <v>0</v>
      </c>
      <c r="S116" s="1">
        <v>0</v>
      </c>
      <c r="T116" s="1">
        <v>0</v>
      </c>
      <c r="U116" s="1">
        <v>471000</v>
      </c>
      <c r="V116" s="1" t="s">
        <v>144</v>
      </c>
      <c r="W116" s="1" t="s">
        <v>33</v>
      </c>
      <c r="X116" t="s">
        <v>34</v>
      </c>
      <c r="Y116" s="16">
        <v>0</v>
      </c>
      <c r="Z116" s="16">
        <v>0</v>
      </c>
      <c r="AA116" s="15">
        <f t="shared" si="3"/>
        <v>0</v>
      </c>
      <c r="AC116" s="15">
        <f t="shared" si="4"/>
        <v>0</v>
      </c>
      <c r="AD116" s="15">
        <f t="shared" si="5"/>
        <v>0</v>
      </c>
      <c r="AE116">
        <v>13</v>
      </c>
    </row>
    <row r="117" spans="1:31" x14ac:dyDescent="0.2">
      <c r="A117" s="14">
        <v>1</v>
      </c>
      <c r="B117" s="11">
        <v>471001</v>
      </c>
      <c r="C117" s="11">
        <v>471001</v>
      </c>
      <c r="D117" s="11">
        <v>4</v>
      </c>
      <c r="E117" s="12"/>
      <c r="F117" s="13" t="s">
        <v>145</v>
      </c>
      <c r="G117" s="10">
        <v>0</v>
      </c>
      <c r="H117" s="10">
        <v>0</v>
      </c>
      <c r="I117" s="10">
        <v>0</v>
      </c>
      <c r="J117" s="10">
        <v>0</v>
      </c>
      <c r="K117" s="10">
        <v>21723.37</v>
      </c>
      <c r="L117" s="10">
        <v>15345.86</v>
      </c>
      <c r="M117" s="10">
        <v>21723.37</v>
      </c>
      <c r="N117" s="10">
        <v>15345.86</v>
      </c>
      <c r="O117" s="10">
        <v>6377.51</v>
      </c>
      <c r="P117" s="10">
        <v>0</v>
      </c>
      <c r="Q117" s="1">
        <v>0</v>
      </c>
      <c r="R117" s="1">
        <v>0</v>
      </c>
      <c r="S117" s="1">
        <v>6377.51</v>
      </c>
      <c r="T117" s="1">
        <v>0</v>
      </c>
      <c r="U117" s="1">
        <v>471001</v>
      </c>
      <c r="V117" s="1" t="s">
        <v>145</v>
      </c>
      <c r="W117" s="1" t="s">
        <v>33</v>
      </c>
      <c r="X117" t="s">
        <v>34</v>
      </c>
      <c r="Y117" s="16">
        <v>6377.51</v>
      </c>
      <c r="Z117" s="16">
        <v>0</v>
      </c>
      <c r="AA117" s="15">
        <f t="shared" si="3"/>
        <v>0</v>
      </c>
      <c r="AC117" s="15">
        <f t="shared" si="4"/>
        <v>0</v>
      </c>
      <c r="AD117" s="15">
        <f t="shared" si="5"/>
        <v>6377.51</v>
      </c>
      <c r="AE117">
        <v>13</v>
      </c>
    </row>
    <row r="118" spans="1:31" x14ac:dyDescent="0.2">
      <c r="A118" s="14">
        <v>1</v>
      </c>
      <c r="B118" s="11">
        <v>471008</v>
      </c>
      <c r="C118" s="11">
        <v>471008</v>
      </c>
      <c r="D118" s="11">
        <v>4</v>
      </c>
      <c r="E118" s="12"/>
      <c r="F118" s="13" t="s">
        <v>146</v>
      </c>
      <c r="G118" s="10">
        <v>0</v>
      </c>
      <c r="H118" s="10">
        <v>0</v>
      </c>
      <c r="I118" s="10">
        <v>0</v>
      </c>
      <c r="J118" s="10">
        <v>0</v>
      </c>
      <c r="K118" s="10">
        <v>286909.49</v>
      </c>
      <c r="L118" s="10">
        <v>256769.89</v>
      </c>
      <c r="M118" s="10">
        <v>286909.49</v>
      </c>
      <c r="N118" s="10">
        <v>256769.89</v>
      </c>
      <c r="O118" s="10">
        <v>30139.599999999999</v>
      </c>
      <c r="P118" s="10">
        <v>0</v>
      </c>
      <c r="Q118" s="1">
        <v>0</v>
      </c>
      <c r="R118" s="1">
        <v>0</v>
      </c>
      <c r="S118" s="1">
        <v>30139.599999999999</v>
      </c>
      <c r="T118" s="1">
        <v>0</v>
      </c>
      <c r="U118" s="1">
        <v>471008</v>
      </c>
      <c r="V118" s="1" t="s">
        <v>146</v>
      </c>
      <c r="W118" s="1" t="s">
        <v>33</v>
      </c>
      <c r="X118" t="s">
        <v>34</v>
      </c>
      <c r="Y118" s="16">
        <v>30139.599999999999</v>
      </c>
      <c r="Z118" s="16">
        <v>0</v>
      </c>
      <c r="AA118" s="15">
        <f t="shared" si="3"/>
        <v>0</v>
      </c>
      <c r="AC118" s="15">
        <f t="shared" si="4"/>
        <v>0</v>
      </c>
      <c r="AD118" s="15">
        <f t="shared" si="5"/>
        <v>30139.599999999999</v>
      </c>
      <c r="AE118">
        <v>13</v>
      </c>
    </row>
    <row r="119" spans="1:31" x14ac:dyDescent="0.2">
      <c r="A119" s="14">
        <v>1</v>
      </c>
      <c r="B119" s="11">
        <v>471011</v>
      </c>
      <c r="C119" s="11">
        <v>471011</v>
      </c>
      <c r="D119" s="11">
        <v>4</v>
      </c>
      <c r="E119" s="12"/>
      <c r="F119" s="13" t="s">
        <v>147</v>
      </c>
      <c r="G119" s="10">
        <v>0</v>
      </c>
      <c r="H119" s="10">
        <v>0</v>
      </c>
      <c r="I119" s="10">
        <v>0</v>
      </c>
      <c r="J119" s="10">
        <v>0</v>
      </c>
      <c r="K119" s="10">
        <v>121536.45</v>
      </c>
      <c r="L119" s="10">
        <v>121536.45</v>
      </c>
      <c r="M119" s="10">
        <v>121536.45</v>
      </c>
      <c r="N119" s="10">
        <v>121536.45</v>
      </c>
      <c r="O119" s="10">
        <v>0</v>
      </c>
      <c r="P119" s="10">
        <v>0</v>
      </c>
      <c r="Q119" s="1">
        <v>0</v>
      </c>
      <c r="R119" s="1">
        <v>0</v>
      </c>
      <c r="S119" s="1">
        <v>0</v>
      </c>
      <c r="T119" s="1">
        <v>0</v>
      </c>
      <c r="U119" s="1">
        <v>471011</v>
      </c>
      <c r="V119" s="1" t="s">
        <v>147</v>
      </c>
      <c r="W119" s="1" t="s">
        <v>33</v>
      </c>
      <c r="X119" t="s">
        <v>34</v>
      </c>
      <c r="Y119" s="16">
        <v>0</v>
      </c>
      <c r="Z119" s="16">
        <v>0</v>
      </c>
      <c r="AA119" s="15">
        <f t="shared" si="3"/>
        <v>0</v>
      </c>
      <c r="AC119" s="15">
        <f t="shared" si="4"/>
        <v>0</v>
      </c>
      <c r="AD119" s="15">
        <f t="shared" si="5"/>
        <v>0</v>
      </c>
      <c r="AE119">
        <v>13</v>
      </c>
    </row>
    <row r="120" spans="1:31" x14ac:dyDescent="0.2">
      <c r="A120" s="14">
        <v>1</v>
      </c>
      <c r="B120" s="11">
        <v>471020</v>
      </c>
      <c r="C120" s="11">
        <v>471020</v>
      </c>
      <c r="D120" s="11">
        <v>4</v>
      </c>
      <c r="E120" s="12"/>
      <c r="F120" s="13" t="s">
        <v>148</v>
      </c>
      <c r="G120" s="10">
        <v>0</v>
      </c>
      <c r="H120" s="10">
        <v>0</v>
      </c>
      <c r="I120" s="10">
        <v>0</v>
      </c>
      <c r="J120" s="10">
        <v>0</v>
      </c>
      <c r="K120" s="10">
        <v>102436.42</v>
      </c>
      <c r="L120" s="10">
        <v>102436.42</v>
      </c>
      <c r="M120" s="10">
        <v>102436.42</v>
      </c>
      <c r="N120" s="10">
        <v>102436.42</v>
      </c>
      <c r="O120" s="10">
        <v>0</v>
      </c>
      <c r="P120" s="10">
        <v>0</v>
      </c>
      <c r="Q120" s="1">
        <v>0</v>
      </c>
      <c r="R120" s="1">
        <v>0</v>
      </c>
      <c r="S120" s="1">
        <v>0</v>
      </c>
      <c r="T120" s="1">
        <v>0</v>
      </c>
      <c r="U120" s="1">
        <v>471020</v>
      </c>
      <c r="V120" s="1" t="s">
        <v>148</v>
      </c>
      <c r="W120" s="1" t="s">
        <v>33</v>
      </c>
      <c r="X120" t="s">
        <v>34</v>
      </c>
      <c r="Y120" s="16">
        <v>0</v>
      </c>
      <c r="Z120" s="16">
        <v>0</v>
      </c>
      <c r="AA120" s="15">
        <f t="shared" si="3"/>
        <v>0</v>
      </c>
      <c r="AC120" s="15">
        <f t="shared" si="4"/>
        <v>0</v>
      </c>
      <c r="AD120" s="15">
        <f t="shared" si="5"/>
        <v>0</v>
      </c>
      <c r="AE120">
        <v>13</v>
      </c>
    </row>
    <row r="121" spans="1:31" x14ac:dyDescent="0.2">
      <c r="A121" s="14">
        <v>1</v>
      </c>
      <c r="B121" s="11">
        <v>472000</v>
      </c>
      <c r="C121" s="11">
        <v>472000</v>
      </c>
      <c r="D121" s="11">
        <v>4</v>
      </c>
      <c r="E121" s="12"/>
      <c r="F121" s="13" t="s">
        <v>149</v>
      </c>
      <c r="G121" s="10">
        <v>0</v>
      </c>
      <c r="H121" s="10">
        <v>0</v>
      </c>
      <c r="I121" s="10">
        <v>0</v>
      </c>
      <c r="J121" s="10">
        <v>0</v>
      </c>
      <c r="K121" s="10">
        <v>217401.84</v>
      </c>
      <c r="L121" s="10">
        <v>217401.84</v>
      </c>
      <c r="M121" s="10">
        <v>217401.84</v>
      </c>
      <c r="N121" s="10">
        <v>217401.84</v>
      </c>
      <c r="O121" s="10">
        <v>0</v>
      </c>
      <c r="P121" s="10">
        <v>0</v>
      </c>
      <c r="Q121" s="1">
        <v>0</v>
      </c>
      <c r="R121" s="1">
        <v>0</v>
      </c>
      <c r="S121" s="1">
        <v>0</v>
      </c>
      <c r="T121" s="1">
        <v>0</v>
      </c>
      <c r="U121" s="1">
        <v>472000</v>
      </c>
      <c r="V121" s="1" t="s">
        <v>149</v>
      </c>
      <c r="W121" s="1" t="s">
        <v>33</v>
      </c>
      <c r="X121" t="s">
        <v>34</v>
      </c>
      <c r="Y121" s="16">
        <v>0</v>
      </c>
      <c r="Z121" s="16">
        <v>0</v>
      </c>
      <c r="AA121" s="15">
        <f t="shared" si="3"/>
        <v>0</v>
      </c>
      <c r="AC121" s="15">
        <f t="shared" si="4"/>
        <v>0</v>
      </c>
      <c r="AD121" s="15">
        <f t="shared" si="5"/>
        <v>0</v>
      </c>
      <c r="AE121">
        <v>24</v>
      </c>
    </row>
    <row r="122" spans="1:31" x14ac:dyDescent="0.2">
      <c r="A122" s="14">
        <v>1</v>
      </c>
      <c r="B122" s="11">
        <v>472001</v>
      </c>
      <c r="C122" s="11">
        <v>472001</v>
      </c>
      <c r="D122" s="11">
        <v>4</v>
      </c>
      <c r="E122" s="12"/>
      <c r="F122" s="13" t="s">
        <v>150</v>
      </c>
      <c r="G122" s="10">
        <v>0</v>
      </c>
      <c r="H122" s="10">
        <v>0</v>
      </c>
      <c r="I122" s="10">
        <v>0</v>
      </c>
      <c r="J122" s="10">
        <v>0</v>
      </c>
      <c r="K122" s="10">
        <v>198040.5</v>
      </c>
      <c r="L122" s="10">
        <v>198040.5</v>
      </c>
      <c r="M122" s="10">
        <v>198040.5</v>
      </c>
      <c r="N122" s="10">
        <v>198040.5</v>
      </c>
      <c r="O122" s="10">
        <v>0</v>
      </c>
      <c r="P122" s="10">
        <v>0</v>
      </c>
      <c r="Q122" s="1">
        <v>0</v>
      </c>
      <c r="R122" s="1">
        <v>0</v>
      </c>
      <c r="S122" s="1">
        <v>0</v>
      </c>
      <c r="T122" s="1">
        <v>0</v>
      </c>
      <c r="U122" s="1">
        <v>472001</v>
      </c>
      <c r="V122" s="1" t="s">
        <v>150</v>
      </c>
      <c r="W122" s="1" t="s">
        <v>33</v>
      </c>
      <c r="X122" t="s">
        <v>34</v>
      </c>
      <c r="Y122" s="16">
        <v>0</v>
      </c>
      <c r="Z122" s="16">
        <v>0</v>
      </c>
      <c r="AA122" s="15">
        <f t="shared" si="3"/>
        <v>0</v>
      </c>
      <c r="AC122" s="15">
        <f t="shared" si="4"/>
        <v>0</v>
      </c>
      <c r="AD122" s="15">
        <f t="shared" si="5"/>
        <v>0</v>
      </c>
      <c r="AE122">
        <v>24</v>
      </c>
    </row>
    <row r="123" spans="1:31" x14ac:dyDescent="0.2">
      <c r="A123" s="14">
        <v>1</v>
      </c>
      <c r="B123" s="11">
        <v>473000</v>
      </c>
      <c r="C123" s="11">
        <v>473000</v>
      </c>
      <c r="D123" s="11">
        <v>4</v>
      </c>
      <c r="E123" s="12"/>
      <c r="F123" s="13" t="s">
        <v>151</v>
      </c>
      <c r="G123" s="10">
        <v>0</v>
      </c>
      <c r="H123" s="10">
        <v>0</v>
      </c>
      <c r="I123" s="10">
        <v>0</v>
      </c>
      <c r="J123" s="10">
        <v>0</v>
      </c>
      <c r="K123" s="10">
        <v>435223.4</v>
      </c>
      <c r="L123" s="10">
        <v>438297.3</v>
      </c>
      <c r="M123" s="10">
        <v>435223.4</v>
      </c>
      <c r="N123" s="10">
        <v>438297.3</v>
      </c>
      <c r="O123" s="10">
        <v>0</v>
      </c>
      <c r="P123" s="10">
        <v>3073.9</v>
      </c>
      <c r="Q123" s="1">
        <v>0</v>
      </c>
      <c r="R123" s="1">
        <v>0</v>
      </c>
      <c r="S123" s="1">
        <v>0</v>
      </c>
      <c r="T123" s="1">
        <v>3073.9</v>
      </c>
      <c r="U123" s="1">
        <v>473000</v>
      </c>
      <c r="V123" s="1" t="s">
        <v>151</v>
      </c>
      <c r="W123" s="1" t="s">
        <v>33</v>
      </c>
      <c r="X123" t="s">
        <v>34</v>
      </c>
      <c r="Y123" s="16">
        <v>0</v>
      </c>
      <c r="Z123" s="16">
        <v>3073.9</v>
      </c>
      <c r="AA123" s="15">
        <f t="shared" si="3"/>
        <v>0</v>
      </c>
      <c r="AC123" s="15">
        <f t="shared" si="4"/>
        <v>0</v>
      </c>
      <c r="AD123" s="15">
        <f t="shared" si="5"/>
        <v>-3073.9</v>
      </c>
      <c r="AE123">
        <v>15</v>
      </c>
    </row>
    <row r="124" spans="1:31" x14ac:dyDescent="0.2">
      <c r="A124" s="14">
        <v>1</v>
      </c>
      <c r="B124" s="11">
        <v>473001</v>
      </c>
      <c r="C124" s="11">
        <v>473001</v>
      </c>
      <c r="D124" s="11">
        <v>4</v>
      </c>
      <c r="E124" s="12"/>
      <c r="F124" s="13" t="s">
        <v>152</v>
      </c>
      <c r="G124" s="10">
        <v>0</v>
      </c>
      <c r="H124" s="10">
        <v>0</v>
      </c>
      <c r="I124" s="10">
        <v>0</v>
      </c>
      <c r="J124" s="10">
        <v>0</v>
      </c>
      <c r="K124" s="10">
        <v>0</v>
      </c>
      <c r="L124" s="10">
        <v>0</v>
      </c>
      <c r="M124" s="10">
        <v>0</v>
      </c>
      <c r="N124" s="10">
        <v>0</v>
      </c>
      <c r="O124" s="10">
        <v>0</v>
      </c>
      <c r="P124" s="10">
        <v>0</v>
      </c>
      <c r="Q124" s="1">
        <v>0</v>
      </c>
      <c r="R124" s="1">
        <v>0</v>
      </c>
      <c r="S124" s="1">
        <v>0</v>
      </c>
      <c r="T124" s="1">
        <v>0</v>
      </c>
      <c r="U124" s="1">
        <v>473001</v>
      </c>
      <c r="V124" s="1" t="s">
        <v>152</v>
      </c>
      <c r="W124" s="1" t="s">
        <v>33</v>
      </c>
      <c r="X124" t="s">
        <v>34</v>
      </c>
      <c r="Y124" s="16">
        <v>0</v>
      </c>
      <c r="Z124" s="16">
        <v>0</v>
      </c>
      <c r="AA124" s="15">
        <f t="shared" si="3"/>
        <v>0</v>
      </c>
      <c r="AC124" s="15">
        <f t="shared" si="4"/>
        <v>0</v>
      </c>
      <c r="AD124" s="15">
        <f t="shared" si="5"/>
        <v>0</v>
      </c>
      <c r="AE124">
        <v>6</v>
      </c>
    </row>
    <row r="125" spans="1:31" x14ac:dyDescent="0.2">
      <c r="A125" s="14">
        <v>1</v>
      </c>
      <c r="B125" s="11">
        <v>5121</v>
      </c>
      <c r="C125" s="11">
        <v>5121</v>
      </c>
      <c r="D125" s="11">
        <v>5</v>
      </c>
      <c r="E125" s="12"/>
      <c r="F125" s="13" t="s">
        <v>153</v>
      </c>
      <c r="G125" s="10">
        <v>0</v>
      </c>
      <c r="H125" s="10">
        <v>0</v>
      </c>
      <c r="I125" s="10">
        <v>0</v>
      </c>
      <c r="J125" s="10">
        <v>0</v>
      </c>
      <c r="K125" s="10">
        <v>0</v>
      </c>
      <c r="L125" s="10">
        <v>0</v>
      </c>
      <c r="M125" s="10">
        <v>0</v>
      </c>
      <c r="N125" s="10">
        <v>0</v>
      </c>
      <c r="O125" s="10">
        <v>0</v>
      </c>
      <c r="P125" s="10">
        <v>0</v>
      </c>
      <c r="Q125" s="1">
        <v>0</v>
      </c>
      <c r="R125" s="1">
        <v>0</v>
      </c>
      <c r="S125" s="1">
        <v>0</v>
      </c>
      <c r="T125" s="1">
        <v>0</v>
      </c>
      <c r="U125" s="1">
        <v>5121</v>
      </c>
      <c r="V125" s="1" t="s">
        <v>153</v>
      </c>
      <c r="W125" s="1" t="s">
        <v>33</v>
      </c>
      <c r="X125" t="s">
        <v>34</v>
      </c>
      <c r="Y125" s="16">
        <v>0</v>
      </c>
      <c r="Z125" s="16">
        <v>0</v>
      </c>
      <c r="AA125" s="15">
        <f t="shared" si="3"/>
        <v>0</v>
      </c>
      <c r="AC125" s="15">
        <f t="shared" si="4"/>
        <v>0</v>
      </c>
      <c r="AD125" s="15">
        <f t="shared" si="5"/>
        <v>0</v>
      </c>
      <c r="AE125">
        <v>10</v>
      </c>
    </row>
    <row r="126" spans="1:31" x14ac:dyDescent="0.2">
      <c r="A126" s="14">
        <v>1</v>
      </c>
      <c r="B126" s="11">
        <v>512104</v>
      </c>
      <c r="C126" s="11">
        <v>512104</v>
      </c>
      <c r="D126" s="11">
        <v>5</v>
      </c>
      <c r="E126" s="12"/>
      <c r="F126" s="13" t="s">
        <v>154</v>
      </c>
      <c r="G126" s="10">
        <v>0</v>
      </c>
      <c r="H126" s="10">
        <v>48.89</v>
      </c>
      <c r="I126" s="10">
        <v>0</v>
      </c>
      <c r="J126" s="10">
        <v>48.89</v>
      </c>
      <c r="K126" s="10">
        <v>54316450.109999999</v>
      </c>
      <c r="L126" s="10">
        <v>53481178.909999996</v>
      </c>
      <c r="M126" s="10">
        <v>54316450.109999999</v>
      </c>
      <c r="N126" s="10">
        <v>53481227.799999997</v>
      </c>
      <c r="O126" s="10">
        <v>835222.31</v>
      </c>
      <c r="P126" s="10">
        <v>0</v>
      </c>
      <c r="Q126" s="1">
        <v>0</v>
      </c>
      <c r="R126" s="1">
        <v>48.89</v>
      </c>
      <c r="S126" s="1">
        <v>835222.31</v>
      </c>
      <c r="T126" s="1">
        <v>0</v>
      </c>
      <c r="U126" s="1">
        <v>512104</v>
      </c>
      <c r="V126" s="1" t="s">
        <v>154</v>
      </c>
      <c r="W126" s="1" t="s">
        <v>33</v>
      </c>
      <c r="X126" t="s">
        <v>34</v>
      </c>
      <c r="Y126" s="16">
        <v>835222.31</v>
      </c>
      <c r="Z126" s="16">
        <v>0</v>
      </c>
      <c r="AA126" s="15">
        <f t="shared" si="3"/>
        <v>0</v>
      </c>
      <c r="AC126" s="15">
        <f t="shared" si="4"/>
        <v>-48.89</v>
      </c>
      <c r="AD126" s="15">
        <f t="shared" si="5"/>
        <v>835222.31</v>
      </c>
      <c r="AE126">
        <v>10</v>
      </c>
    </row>
    <row r="127" spans="1:31" x14ac:dyDescent="0.2">
      <c r="A127" s="14">
        <v>1</v>
      </c>
      <c r="B127" s="11">
        <v>512105</v>
      </c>
      <c r="C127" s="11">
        <v>512105</v>
      </c>
      <c r="D127" s="11">
        <v>5</v>
      </c>
      <c r="E127" s="12"/>
      <c r="F127" s="13" t="s">
        <v>155</v>
      </c>
      <c r="G127" s="10">
        <v>0</v>
      </c>
      <c r="H127" s="10">
        <v>0</v>
      </c>
      <c r="I127" s="10">
        <v>0</v>
      </c>
      <c r="J127" s="10">
        <v>0</v>
      </c>
      <c r="K127" s="10">
        <v>0</v>
      </c>
      <c r="L127" s="10">
        <v>0</v>
      </c>
      <c r="M127" s="10">
        <v>0</v>
      </c>
      <c r="N127" s="10">
        <v>0</v>
      </c>
      <c r="O127" s="10">
        <v>0</v>
      </c>
      <c r="P127" s="10">
        <v>0</v>
      </c>
      <c r="Q127" s="1">
        <v>0</v>
      </c>
      <c r="R127" s="1">
        <v>0</v>
      </c>
      <c r="S127" s="1">
        <v>0</v>
      </c>
      <c r="T127" s="1">
        <v>0</v>
      </c>
      <c r="U127" s="1">
        <v>512105</v>
      </c>
      <c r="V127" s="1" t="s">
        <v>155</v>
      </c>
      <c r="W127" s="1" t="s">
        <v>33</v>
      </c>
      <c r="X127" t="s">
        <v>34</v>
      </c>
      <c r="Y127" s="16">
        <v>0</v>
      </c>
      <c r="Z127" s="16">
        <v>0</v>
      </c>
      <c r="AA127" s="15">
        <f t="shared" si="3"/>
        <v>0</v>
      </c>
      <c r="AC127" s="15">
        <f t="shared" si="4"/>
        <v>0</v>
      </c>
      <c r="AD127" s="15">
        <f t="shared" si="5"/>
        <v>0</v>
      </c>
      <c r="AE127">
        <v>10</v>
      </c>
    </row>
    <row r="128" spans="1:31" x14ac:dyDescent="0.2">
      <c r="A128" s="14">
        <v>1</v>
      </c>
      <c r="B128" s="11">
        <v>512111</v>
      </c>
      <c r="C128" s="11">
        <v>512111</v>
      </c>
      <c r="D128" s="11">
        <v>5</v>
      </c>
      <c r="E128" s="12"/>
      <c r="F128" s="13" t="s">
        <v>156</v>
      </c>
      <c r="G128" s="10">
        <v>0</v>
      </c>
      <c r="H128" s="10">
        <v>0</v>
      </c>
      <c r="I128" s="10">
        <v>0</v>
      </c>
      <c r="J128" s="10">
        <v>0</v>
      </c>
      <c r="K128" s="10">
        <v>113000.33</v>
      </c>
      <c r="L128" s="10">
        <v>112376.68</v>
      </c>
      <c r="M128" s="10">
        <v>113000.33</v>
      </c>
      <c r="N128" s="10">
        <v>112376.68</v>
      </c>
      <c r="O128" s="10">
        <v>623.65</v>
      </c>
      <c r="P128" s="10">
        <v>0</v>
      </c>
      <c r="Q128" s="1">
        <v>0</v>
      </c>
      <c r="R128" s="1">
        <v>0</v>
      </c>
      <c r="S128" s="1">
        <v>623.65</v>
      </c>
      <c r="T128" s="1">
        <v>0</v>
      </c>
      <c r="U128" s="1">
        <v>512111</v>
      </c>
      <c r="V128" s="1" t="s">
        <v>156</v>
      </c>
      <c r="W128" s="1" t="s">
        <v>33</v>
      </c>
      <c r="X128" t="s">
        <v>34</v>
      </c>
      <c r="Y128" s="16">
        <v>623.65</v>
      </c>
      <c r="Z128" s="16">
        <v>0</v>
      </c>
      <c r="AA128" s="15">
        <f t="shared" si="3"/>
        <v>0</v>
      </c>
      <c r="AC128" s="15">
        <f t="shared" si="4"/>
        <v>0</v>
      </c>
      <c r="AD128" s="15">
        <f t="shared" si="5"/>
        <v>623.65</v>
      </c>
      <c r="AE128">
        <v>10</v>
      </c>
    </row>
    <row r="129" spans="1:31" x14ac:dyDescent="0.2">
      <c r="A129" s="14">
        <v>1</v>
      </c>
      <c r="B129" s="11">
        <v>512114</v>
      </c>
      <c r="C129" s="11">
        <v>512114</v>
      </c>
      <c r="D129" s="11">
        <v>5</v>
      </c>
      <c r="E129" s="12"/>
      <c r="F129" s="13" t="s">
        <v>157</v>
      </c>
      <c r="G129" s="10">
        <v>0</v>
      </c>
      <c r="H129" s="10">
        <v>0</v>
      </c>
      <c r="I129" s="10">
        <v>0</v>
      </c>
      <c r="J129" s="10">
        <v>0</v>
      </c>
      <c r="K129" s="10">
        <v>966508</v>
      </c>
      <c r="L129" s="10">
        <v>966508</v>
      </c>
      <c r="M129" s="10">
        <v>966508</v>
      </c>
      <c r="N129" s="10">
        <v>966508</v>
      </c>
      <c r="O129" s="10">
        <v>0</v>
      </c>
      <c r="P129" s="10">
        <v>0</v>
      </c>
      <c r="Q129" s="1">
        <v>0</v>
      </c>
      <c r="R129" s="1">
        <v>0</v>
      </c>
      <c r="S129" s="1">
        <v>0</v>
      </c>
      <c r="T129" s="1">
        <v>0</v>
      </c>
      <c r="U129" s="1">
        <v>512114</v>
      </c>
      <c r="V129" s="1" t="s">
        <v>157</v>
      </c>
      <c r="W129" s="1" t="s">
        <v>33</v>
      </c>
      <c r="X129" t="s">
        <v>34</v>
      </c>
      <c r="Y129" s="16">
        <v>0</v>
      </c>
      <c r="Z129" s="16">
        <v>0</v>
      </c>
      <c r="AA129" s="15">
        <f t="shared" si="3"/>
        <v>0</v>
      </c>
      <c r="AC129" s="15">
        <f t="shared" si="4"/>
        <v>0</v>
      </c>
      <c r="AD129" s="15">
        <f t="shared" si="5"/>
        <v>0</v>
      </c>
      <c r="AE129">
        <v>10</v>
      </c>
    </row>
    <row r="130" spans="1:31" x14ac:dyDescent="0.2">
      <c r="A130" s="14">
        <v>1</v>
      </c>
      <c r="B130" s="11">
        <v>512117</v>
      </c>
      <c r="C130" s="11">
        <v>512117</v>
      </c>
      <c r="D130" s="11">
        <v>5</v>
      </c>
      <c r="E130" s="12"/>
      <c r="F130" s="13" t="s">
        <v>158</v>
      </c>
      <c r="G130" s="10">
        <v>0</v>
      </c>
      <c r="H130" s="10">
        <v>0</v>
      </c>
      <c r="I130" s="10">
        <v>0</v>
      </c>
      <c r="J130" s="10">
        <v>0</v>
      </c>
      <c r="K130" s="10">
        <v>209200.19</v>
      </c>
      <c r="L130" s="10">
        <v>209199.54</v>
      </c>
      <c r="M130" s="10">
        <v>209200.19</v>
      </c>
      <c r="N130" s="10">
        <v>209199.54</v>
      </c>
      <c r="O130" s="10">
        <v>0.65</v>
      </c>
      <c r="P130" s="10">
        <v>0</v>
      </c>
      <c r="Q130" s="1">
        <v>0</v>
      </c>
      <c r="R130" s="1">
        <v>0</v>
      </c>
      <c r="S130" s="1">
        <v>0.65</v>
      </c>
      <c r="T130" s="1">
        <v>0</v>
      </c>
      <c r="U130" s="1">
        <v>512117</v>
      </c>
      <c r="V130" s="1" t="s">
        <v>158</v>
      </c>
      <c r="W130" s="1" t="s">
        <v>33</v>
      </c>
      <c r="X130" t="s">
        <v>34</v>
      </c>
      <c r="Y130" s="16">
        <v>0.65</v>
      </c>
      <c r="Z130" s="16">
        <v>0</v>
      </c>
      <c r="AA130" s="15">
        <f t="shared" si="3"/>
        <v>0</v>
      </c>
      <c r="AC130" s="15">
        <f t="shared" si="4"/>
        <v>0</v>
      </c>
      <c r="AD130" s="15">
        <f t="shared" si="5"/>
        <v>0.65</v>
      </c>
      <c r="AE130">
        <v>10</v>
      </c>
    </row>
    <row r="131" spans="1:31" x14ac:dyDescent="0.2">
      <c r="A131" s="14">
        <v>1</v>
      </c>
      <c r="B131" s="11">
        <v>512118</v>
      </c>
      <c r="C131" s="11">
        <v>512118</v>
      </c>
      <c r="D131" s="11">
        <v>5</v>
      </c>
      <c r="E131" s="12"/>
      <c r="F131" s="13" t="s">
        <v>159</v>
      </c>
      <c r="G131" s="10">
        <v>0</v>
      </c>
      <c r="H131" s="10">
        <v>0</v>
      </c>
      <c r="I131" s="10">
        <v>0</v>
      </c>
      <c r="J131" s="10">
        <v>0</v>
      </c>
      <c r="K131" s="10">
        <v>0</v>
      </c>
      <c r="L131" s="10">
        <v>0</v>
      </c>
      <c r="M131" s="10">
        <v>0</v>
      </c>
      <c r="N131" s="10">
        <v>0</v>
      </c>
      <c r="O131" s="10">
        <v>0</v>
      </c>
      <c r="P131" s="10">
        <v>0</v>
      </c>
      <c r="Q131" s="1">
        <v>0</v>
      </c>
      <c r="R131" s="1">
        <v>0</v>
      </c>
      <c r="S131" s="1">
        <v>0</v>
      </c>
      <c r="T131" s="1">
        <v>0</v>
      </c>
      <c r="U131" s="1">
        <v>512118</v>
      </c>
      <c r="V131" s="1" t="s">
        <v>159</v>
      </c>
      <c r="W131" s="1" t="s">
        <v>33</v>
      </c>
      <c r="X131" t="s">
        <v>34</v>
      </c>
      <c r="Y131" s="16">
        <v>0</v>
      </c>
      <c r="Z131" s="16">
        <v>0</v>
      </c>
      <c r="AA131" s="15">
        <f t="shared" si="3"/>
        <v>0</v>
      </c>
      <c r="AC131" s="15">
        <f t="shared" si="4"/>
        <v>0</v>
      </c>
      <c r="AD131" s="15">
        <f t="shared" si="5"/>
        <v>0</v>
      </c>
      <c r="AE131">
        <v>10</v>
      </c>
    </row>
    <row r="132" spans="1:31" x14ac:dyDescent="0.2">
      <c r="A132" s="14">
        <v>1</v>
      </c>
      <c r="B132" s="11">
        <v>512402</v>
      </c>
      <c r="C132" s="11">
        <v>512402</v>
      </c>
      <c r="D132" s="11">
        <v>5</v>
      </c>
      <c r="E132" s="12"/>
      <c r="F132" s="13" t="s">
        <v>160</v>
      </c>
      <c r="G132" s="10">
        <v>0</v>
      </c>
      <c r="H132" s="10">
        <v>0</v>
      </c>
      <c r="I132" s="10">
        <v>0</v>
      </c>
      <c r="J132" s="10"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10">
        <v>0</v>
      </c>
      <c r="Q132" s="1">
        <v>0</v>
      </c>
      <c r="R132" s="1">
        <v>0</v>
      </c>
      <c r="S132" s="1">
        <v>0</v>
      </c>
      <c r="T132" s="1">
        <v>0</v>
      </c>
      <c r="U132" s="1">
        <v>512402</v>
      </c>
      <c r="V132" s="1" t="s">
        <v>160</v>
      </c>
      <c r="W132" s="1" t="s">
        <v>33</v>
      </c>
      <c r="X132" t="s">
        <v>34</v>
      </c>
      <c r="Y132" s="16">
        <v>0</v>
      </c>
      <c r="Z132" s="16">
        <v>0</v>
      </c>
      <c r="AA132" s="15">
        <f t="shared" si="3"/>
        <v>0</v>
      </c>
      <c r="AC132" s="15">
        <f t="shared" si="4"/>
        <v>0</v>
      </c>
      <c r="AD132" s="15">
        <f t="shared" si="5"/>
        <v>0</v>
      </c>
      <c r="AE132">
        <v>10</v>
      </c>
    </row>
    <row r="133" spans="1:31" x14ac:dyDescent="0.2">
      <c r="A133" s="14">
        <v>1</v>
      </c>
      <c r="B133" s="11">
        <v>512403</v>
      </c>
      <c r="C133" s="11">
        <v>512403</v>
      </c>
      <c r="D133" s="11">
        <v>5</v>
      </c>
      <c r="E133" s="12"/>
      <c r="F133" s="13" t="s">
        <v>161</v>
      </c>
      <c r="G133" s="10">
        <v>0</v>
      </c>
      <c r="H133" s="10">
        <v>0</v>
      </c>
      <c r="I133" s="10">
        <v>0</v>
      </c>
      <c r="J133" s="10">
        <v>0</v>
      </c>
      <c r="K133" s="10">
        <v>16959887.620000001</v>
      </c>
      <c r="L133" s="10">
        <v>16922531.510000002</v>
      </c>
      <c r="M133" s="10">
        <v>16959887.620000001</v>
      </c>
      <c r="N133" s="10">
        <v>16922531.510000002</v>
      </c>
      <c r="O133" s="10">
        <v>37356.11</v>
      </c>
      <c r="P133" s="10">
        <v>0</v>
      </c>
      <c r="Q133" s="1">
        <v>0</v>
      </c>
      <c r="R133" s="1">
        <v>0</v>
      </c>
      <c r="S133" s="1">
        <v>37356.11</v>
      </c>
      <c r="T133" s="1">
        <v>0</v>
      </c>
      <c r="U133" s="1">
        <v>512403</v>
      </c>
      <c r="V133" s="1" t="s">
        <v>161</v>
      </c>
      <c r="W133" s="1" t="s">
        <v>33</v>
      </c>
      <c r="X133" t="s">
        <v>34</v>
      </c>
      <c r="Y133" s="16">
        <v>37356.11</v>
      </c>
      <c r="Z133" s="16">
        <v>0</v>
      </c>
      <c r="AA133" s="15">
        <f t="shared" ref="AA133:AA196" si="6">O133-P133-Y133+Z133</f>
        <v>0</v>
      </c>
      <c r="AC133" s="15">
        <f t="shared" si="4"/>
        <v>0</v>
      </c>
      <c r="AD133" s="15">
        <f t="shared" si="5"/>
        <v>37356.11</v>
      </c>
      <c r="AE133">
        <v>10</v>
      </c>
    </row>
    <row r="134" spans="1:31" x14ac:dyDescent="0.2">
      <c r="A134" s="14">
        <v>1</v>
      </c>
      <c r="B134" s="11">
        <v>519104</v>
      </c>
      <c r="C134" s="11">
        <v>519104</v>
      </c>
      <c r="D134" s="11">
        <v>5</v>
      </c>
      <c r="E134" s="12"/>
      <c r="F134" s="13" t="s">
        <v>162</v>
      </c>
      <c r="G134" s="10">
        <v>0</v>
      </c>
      <c r="H134" s="10">
        <v>0</v>
      </c>
      <c r="I134" s="10">
        <v>0</v>
      </c>
      <c r="J134" s="10">
        <v>0</v>
      </c>
      <c r="K134" s="10">
        <v>0</v>
      </c>
      <c r="L134" s="10">
        <v>5802093</v>
      </c>
      <c r="M134" s="10">
        <v>0</v>
      </c>
      <c r="N134" s="10">
        <v>5802093</v>
      </c>
      <c r="O134" s="10">
        <v>0</v>
      </c>
      <c r="P134" s="10">
        <v>5802093</v>
      </c>
      <c r="Q134" s="1">
        <v>0</v>
      </c>
      <c r="R134" s="1">
        <v>0</v>
      </c>
      <c r="S134" s="1">
        <v>0</v>
      </c>
      <c r="T134" s="1">
        <v>5802093</v>
      </c>
      <c r="U134" s="1">
        <v>519104</v>
      </c>
      <c r="V134" s="1" t="s">
        <v>162</v>
      </c>
      <c r="W134" s="1" t="s">
        <v>33</v>
      </c>
      <c r="X134" t="s">
        <v>34</v>
      </c>
      <c r="Y134" s="16">
        <v>0</v>
      </c>
      <c r="Z134" s="16">
        <v>5802093</v>
      </c>
      <c r="AA134" s="15">
        <f t="shared" si="6"/>
        <v>0</v>
      </c>
      <c r="AC134" s="15">
        <f t="shared" ref="AC134:AC197" si="7">G134-H134</f>
        <v>0</v>
      </c>
      <c r="AD134" s="15">
        <f t="shared" ref="AD134:AD197" si="8">O134-P134</f>
        <v>-5802093</v>
      </c>
      <c r="AE134">
        <v>18</v>
      </c>
    </row>
    <row r="135" spans="1:31" x14ac:dyDescent="0.2">
      <c r="A135" s="14">
        <v>1</v>
      </c>
      <c r="B135" s="11">
        <v>532800</v>
      </c>
      <c r="C135" s="11">
        <v>532800</v>
      </c>
      <c r="D135" s="11">
        <v>5</v>
      </c>
      <c r="E135" s="12"/>
      <c r="F135" s="13" t="s">
        <v>163</v>
      </c>
      <c r="G135" s="10">
        <v>0</v>
      </c>
      <c r="H135" s="10">
        <v>0</v>
      </c>
      <c r="I135" s="10">
        <v>0</v>
      </c>
      <c r="J135" s="10">
        <v>0</v>
      </c>
      <c r="K135" s="10">
        <v>121000</v>
      </c>
      <c r="L135" s="10">
        <v>128640</v>
      </c>
      <c r="M135" s="10">
        <v>121000</v>
      </c>
      <c r="N135" s="10">
        <v>128640</v>
      </c>
      <c r="O135" s="10">
        <v>0</v>
      </c>
      <c r="P135" s="10">
        <v>7640</v>
      </c>
      <c r="Q135" s="1">
        <v>0</v>
      </c>
      <c r="R135" s="1">
        <v>0</v>
      </c>
      <c r="S135" s="1">
        <v>0</v>
      </c>
      <c r="T135" s="1">
        <v>7640</v>
      </c>
      <c r="U135" s="1">
        <v>532800</v>
      </c>
      <c r="V135" s="1" t="s">
        <v>163</v>
      </c>
      <c r="W135" s="1" t="s">
        <v>33</v>
      </c>
      <c r="X135" t="s">
        <v>34</v>
      </c>
      <c r="Y135" s="16">
        <v>0</v>
      </c>
      <c r="Z135" s="16">
        <v>7640</v>
      </c>
      <c r="AA135" s="15">
        <f t="shared" si="6"/>
        <v>0</v>
      </c>
      <c r="AC135" s="15">
        <f t="shared" si="7"/>
        <v>0</v>
      </c>
      <c r="AD135" s="15">
        <f t="shared" si="8"/>
        <v>-7640</v>
      </c>
      <c r="AE135">
        <v>10</v>
      </c>
    </row>
    <row r="136" spans="1:31" x14ac:dyDescent="0.2">
      <c r="A136" s="14">
        <v>1</v>
      </c>
      <c r="B136" s="11">
        <v>532801</v>
      </c>
      <c r="C136" s="11">
        <v>532801</v>
      </c>
      <c r="D136" s="11">
        <v>5</v>
      </c>
      <c r="E136" s="12"/>
      <c r="F136" s="13" t="s">
        <v>164</v>
      </c>
      <c r="G136" s="10">
        <v>0</v>
      </c>
      <c r="H136" s="10">
        <v>0</v>
      </c>
      <c r="I136" s="10">
        <v>0</v>
      </c>
      <c r="J136" s="10">
        <v>0</v>
      </c>
      <c r="K136" s="10">
        <v>8150</v>
      </c>
      <c r="L136" s="10">
        <v>8150</v>
      </c>
      <c r="M136" s="10">
        <v>8150</v>
      </c>
      <c r="N136" s="10">
        <v>8150</v>
      </c>
      <c r="O136" s="10">
        <v>0</v>
      </c>
      <c r="P136" s="10">
        <v>0</v>
      </c>
      <c r="Q136" s="1">
        <v>0</v>
      </c>
      <c r="R136" s="1">
        <v>0</v>
      </c>
      <c r="S136" s="1">
        <v>0</v>
      </c>
      <c r="T136" s="1">
        <v>0</v>
      </c>
      <c r="U136" s="1">
        <v>532801</v>
      </c>
      <c r="V136" s="1" t="s">
        <v>164</v>
      </c>
      <c r="W136" s="1" t="s">
        <v>33</v>
      </c>
      <c r="X136" t="s">
        <v>34</v>
      </c>
      <c r="Y136" s="16">
        <v>0</v>
      </c>
      <c r="Z136" s="16">
        <v>0</v>
      </c>
      <c r="AA136" s="15">
        <f t="shared" si="6"/>
        <v>0</v>
      </c>
      <c r="AC136" s="15">
        <f t="shared" si="7"/>
        <v>0</v>
      </c>
      <c r="AD136" s="15">
        <f t="shared" si="8"/>
        <v>0</v>
      </c>
      <c r="AE136">
        <v>10</v>
      </c>
    </row>
    <row r="137" spans="1:31" x14ac:dyDescent="0.2">
      <c r="A137" s="14">
        <v>1</v>
      </c>
      <c r="B137" s="11">
        <v>542209</v>
      </c>
      <c r="C137" s="11">
        <v>542209</v>
      </c>
      <c r="D137" s="11">
        <v>5</v>
      </c>
      <c r="E137" s="12"/>
      <c r="F137" s="13" t="s">
        <v>165</v>
      </c>
      <c r="G137" s="10">
        <v>0</v>
      </c>
      <c r="H137" s="10">
        <v>0</v>
      </c>
      <c r="I137" s="10">
        <v>0</v>
      </c>
      <c r="J137" s="10">
        <v>0</v>
      </c>
      <c r="K137" s="10">
        <v>105.7</v>
      </c>
      <c r="L137" s="10">
        <v>105.7</v>
      </c>
      <c r="M137" s="10">
        <v>105.7</v>
      </c>
      <c r="N137" s="10">
        <v>105.7</v>
      </c>
      <c r="O137" s="10">
        <v>0</v>
      </c>
      <c r="P137" s="10">
        <v>0</v>
      </c>
      <c r="Q137" s="1">
        <v>0</v>
      </c>
      <c r="R137" s="1">
        <v>0</v>
      </c>
      <c r="S137" s="1">
        <v>0</v>
      </c>
      <c r="T137" s="1">
        <v>0</v>
      </c>
      <c r="U137" s="1">
        <v>542209</v>
      </c>
      <c r="V137" s="1" t="s">
        <v>165</v>
      </c>
      <c r="W137" s="1" t="s">
        <v>33</v>
      </c>
      <c r="X137" t="s">
        <v>34</v>
      </c>
      <c r="Y137" s="16">
        <v>0</v>
      </c>
      <c r="Z137" s="16">
        <v>0</v>
      </c>
      <c r="AA137" s="15">
        <f t="shared" si="6"/>
        <v>0</v>
      </c>
      <c r="AC137" s="15">
        <f t="shared" si="7"/>
        <v>0</v>
      </c>
      <c r="AD137" s="15">
        <f t="shared" si="8"/>
        <v>0</v>
      </c>
      <c r="AE137">
        <v>10</v>
      </c>
    </row>
    <row r="138" spans="1:31" x14ac:dyDescent="0.2">
      <c r="A138" s="14">
        <v>1</v>
      </c>
      <c r="B138" s="11">
        <v>542481</v>
      </c>
      <c r="C138" s="11">
        <v>542481</v>
      </c>
      <c r="D138" s="11">
        <v>5</v>
      </c>
      <c r="E138" s="12"/>
      <c r="F138" s="13" t="s">
        <v>166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0">
        <v>0</v>
      </c>
      <c r="O138" s="10">
        <v>0</v>
      </c>
      <c r="P138" s="10">
        <v>0</v>
      </c>
      <c r="Q138" s="1">
        <v>0</v>
      </c>
      <c r="R138" s="1">
        <v>0</v>
      </c>
      <c r="S138" s="1">
        <v>0</v>
      </c>
      <c r="T138" s="1">
        <v>0</v>
      </c>
      <c r="U138" s="1">
        <v>542481</v>
      </c>
      <c r="V138" s="1" t="s">
        <v>166</v>
      </c>
      <c r="W138" s="1" t="s">
        <v>33</v>
      </c>
      <c r="X138" t="s">
        <v>34</v>
      </c>
      <c r="Y138" s="16">
        <v>0</v>
      </c>
      <c r="Z138" s="16">
        <v>0</v>
      </c>
      <c r="AA138" s="15">
        <f t="shared" si="6"/>
        <v>0</v>
      </c>
      <c r="AC138" s="15">
        <f t="shared" si="7"/>
        <v>0</v>
      </c>
      <c r="AD138" s="15">
        <f t="shared" si="8"/>
        <v>0</v>
      </c>
      <c r="AE138">
        <v>10</v>
      </c>
    </row>
    <row r="139" spans="1:31" x14ac:dyDescent="0.2">
      <c r="A139" s="14">
        <v>1</v>
      </c>
      <c r="B139" s="11">
        <v>542541</v>
      </c>
      <c r="C139" s="11">
        <v>542541</v>
      </c>
      <c r="D139" s="11">
        <v>5</v>
      </c>
      <c r="E139" s="12"/>
      <c r="F139" s="13" t="s">
        <v>167</v>
      </c>
      <c r="G139" s="10">
        <v>0</v>
      </c>
      <c r="H139" s="10">
        <v>0</v>
      </c>
      <c r="I139" s="10">
        <v>0</v>
      </c>
      <c r="J139" s="10">
        <v>0</v>
      </c>
      <c r="K139" s="10">
        <v>99.8</v>
      </c>
      <c r="L139" s="10">
        <v>99.8</v>
      </c>
      <c r="M139" s="10">
        <v>99.8</v>
      </c>
      <c r="N139" s="10">
        <v>99.8</v>
      </c>
      <c r="O139" s="10">
        <v>0</v>
      </c>
      <c r="P139" s="10">
        <v>0</v>
      </c>
      <c r="Q139" s="1">
        <v>0</v>
      </c>
      <c r="R139" s="1">
        <v>0</v>
      </c>
      <c r="S139" s="1">
        <v>0</v>
      </c>
      <c r="T139" s="1">
        <v>0</v>
      </c>
      <c r="U139" s="1">
        <v>542541</v>
      </c>
      <c r="V139" s="1" t="s">
        <v>167</v>
      </c>
      <c r="W139" s="1" t="s">
        <v>33</v>
      </c>
      <c r="X139" t="s">
        <v>34</v>
      </c>
      <c r="Y139" s="16">
        <v>0</v>
      </c>
      <c r="Z139" s="16">
        <v>0</v>
      </c>
      <c r="AA139" s="15">
        <f t="shared" si="6"/>
        <v>0</v>
      </c>
      <c r="AC139" s="15">
        <f t="shared" si="7"/>
        <v>0</v>
      </c>
      <c r="AD139" s="15">
        <f t="shared" si="8"/>
        <v>0</v>
      </c>
      <c r="AE139">
        <v>10</v>
      </c>
    </row>
    <row r="140" spans="1:31" x14ac:dyDescent="0.2">
      <c r="A140" s="14">
        <v>1</v>
      </c>
      <c r="B140" s="11">
        <v>542708</v>
      </c>
      <c r="C140" s="11">
        <v>542708</v>
      </c>
      <c r="D140" s="11">
        <v>5</v>
      </c>
      <c r="E140" s="12"/>
      <c r="F140" s="13" t="s">
        <v>168</v>
      </c>
      <c r="G140" s="10">
        <v>0</v>
      </c>
      <c r="H140" s="10">
        <v>0</v>
      </c>
      <c r="I140" s="10">
        <v>0</v>
      </c>
      <c r="J140" s="10">
        <v>0</v>
      </c>
      <c r="K140" s="10">
        <v>209.02</v>
      </c>
      <c r="L140" s="10">
        <v>209.02</v>
      </c>
      <c r="M140" s="10">
        <v>209.02</v>
      </c>
      <c r="N140" s="10">
        <v>209.02</v>
      </c>
      <c r="O140" s="10">
        <v>0</v>
      </c>
      <c r="P140" s="10">
        <v>0</v>
      </c>
      <c r="Q140" s="1">
        <v>0</v>
      </c>
      <c r="R140" s="1">
        <v>0</v>
      </c>
      <c r="S140" s="1">
        <v>0</v>
      </c>
      <c r="T140" s="1">
        <v>0</v>
      </c>
      <c r="U140" s="1">
        <v>542708</v>
      </c>
      <c r="V140" s="1" t="s">
        <v>168</v>
      </c>
      <c r="W140" s="1" t="s">
        <v>33</v>
      </c>
      <c r="X140" t="s">
        <v>34</v>
      </c>
      <c r="Y140" s="16">
        <v>0</v>
      </c>
      <c r="Z140" s="16">
        <v>0</v>
      </c>
      <c r="AA140" s="15">
        <f t="shared" si="6"/>
        <v>0</v>
      </c>
      <c r="AC140" s="15">
        <f t="shared" si="7"/>
        <v>0</v>
      </c>
      <c r="AD140" s="15">
        <f t="shared" si="8"/>
        <v>0</v>
      </c>
      <c r="AE140">
        <v>10</v>
      </c>
    </row>
    <row r="141" spans="1:31" x14ac:dyDescent="0.2">
      <c r="A141" s="14">
        <v>1</v>
      </c>
      <c r="B141" s="11">
        <v>542712</v>
      </c>
      <c r="C141" s="11">
        <v>542712</v>
      </c>
      <c r="D141" s="11">
        <v>5</v>
      </c>
      <c r="E141" s="12"/>
      <c r="F141" s="13" t="s">
        <v>169</v>
      </c>
      <c r="G141" s="10">
        <v>0</v>
      </c>
      <c r="H141" s="10">
        <v>0</v>
      </c>
      <c r="I141" s="10">
        <v>0</v>
      </c>
      <c r="J141" s="10">
        <v>0</v>
      </c>
      <c r="K141" s="10">
        <v>197.5</v>
      </c>
      <c r="L141" s="10">
        <v>197.5</v>
      </c>
      <c r="M141" s="10">
        <v>197.5</v>
      </c>
      <c r="N141" s="10">
        <v>197.5</v>
      </c>
      <c r="O141" s="10">
        <v>0</v>
      </c>
      <c r="P141" s="10">
        <v>0</v>
      </c>
      <c r="Q141" s="1">
        <v>0</v>
      </c>
      <c r="R141" s="1">
        <v>0</v>
      </c>
      <c r="S141" s="1">
        <v>0</v>
      </c>
      <c r="T141" s="1">
        <v>0</v>
      </c>
      <c r="U141" s="1">
        <v>542712</v>
      </c>
      <c r="V141" s="1" t="s">
        <v>169</v>
      </c>
      <c r="W141" s="1" t="s">
        <v>33</v>
      </c>
      <c r="X141" t="s">
        <v>34</v>
      </c>
      <c r="Y141" s="16">
        <v>0</v>
      </c>
      <c r="Z141" s="16">
        <v>0</v>
      </c>
      <c r="AA141" s="15">
        <f t="shared" si="6"/>
        <v>0</v>
      </c>
      <c r="AC141" s="15">
        <f t="shared" si="7"/>
        <v>0</v>
      </c>
      <c r="AD141" s="15">
        <f t="shared" si="8"/>
        <v>0</v>
      </c>
      <c r="AE141">
        <v>10</v>
      </c>
    </row>
    <row r="142" spans="1:31" x14ac:dyDescent="0.2">
      <c r="A142" s="14">
        <v>1</v>
      </c>
      <c r="B142" s="11">
        <v>542725</v>
      </c>
      <c r="C142" s="11">
        <v>542725</v>
      </c>
      <c r="D142" s="11">
        <v>5</v>
      </c>
      <c r="E142" s="12"/>
      <c r="F142" s="13" t="s">
        <v>170</v>
      </c>
      <c r="G142" s="10">
        <v>0</v>
      </c>
      <c r="H142" s="10">
        <v>0</v>
      </c>
      <c r="I142" s="10">
        <v>0</v>
      </c>
      <c r="J142" s="10">
        <v>0</v>
      </c>
      <c r="K142" s="10">
        <v>4576.5</v>
      </c>
      <c r="L142" s="10">
        <v>4618.17</v>
      </c>
      <c r="M142" s="10">
        <v>4576.5</v>
      </c>
      <c r="N142" s="10">
        <v>4618.17</v>
      </c>
      <c r="O142" s="10">
        <v>0</v>
      </c>
      <c r="P142" s="10">
        <v>41.67</v>
      </c>
      <c r="Q142" s="1">
        <v>0</v>
      </c>
      <c r="R142" s="1">
        <v>0</v>
      </c>
      <c r="S142" s="1">
        <v>0</v>
      </c>
      <c r="T142" s="1">
        <v>41.67</v>
      </c>
      <c r="U142" s="1">
        <v>542725</v>
      </c>
      <c r="V142" s="1" t="s">
        <v>170</v>
      </c>
      <c r="W142" s="1" t="s">
        <v>33</v>
      </c>
      <c r="X142" t="s">
        <v>34</v>
      </c>
      <c r="Y142" s="16">
        <v>0</v>
      </c>
      <c r="Z142" s="16">
        <v>41.67</v>
      </c>
      <c r="AA142" s="15">
        <f t="shared" si="6"/>
        <v>0</v>
      </c>
      <c r="AC142" s="15">
        <f t="shared" si="7"/>
        <v>0</v>
      </c>
      <c r="AD142" s="15">
        <f t="shared" si="8"/>
        <v>-41.67</v>
      </c>
      <c r="AE142">
        <v>10</v>
      </c>
    </row>
    <row r="143" spans="1:31" x14ac:dyDescent="0.2">
      <c r="A143" s="14">
        <v>1</v>
      </c>
      <c r="B143" s="11">
        <v>542741</v>
      </c>
      <c r="C143" s="11">
        <v>542741</v>
      </c>
      <c r="D143" s="11">
        <v>5</v>
      </c>
      <c r="E143" s="12"/>
      <c r="F143" s="13" t="s">
        <v>171</v>
      </c>
      <c r="G143" s="10">
        <v>0</v>
      </c>
      <c r="H143" s="10">
        <v>0</v>
      </c>
      <c r="I143" s="10">
        <v>0</v>
      </c>
      <c r="J143" s="10">
        <v>0</v>
      </c>
      <c r="K143" s="10">
        <v>67.599999999999994</v>
      </c>
      <c r="L143" s="10">
        <v>67.599999999999994</v>
      </c>
      <c r="M143" s="10">
        <v>67.599999999999994</v>
      </c>
      <c r="N143" s="10">
        <v>67.599999999999994</v>
      </c>
      <c r="O143" s="10">
        <v>0</v>
      </c>
      <c r="P143" s="10">
        <v>0</v>
      </c>
      <c r="Q143" s="1">
        <v>0</v>
      </c>
      <c r="R143" s="1">
        <v>0</v>
      </c>
      <c r="S143" s="1">
        <v>0</v>
      </c>
      <c r="T143" s="1">
        <v>0</v>
      </c>
      <c r="U143" s="1">
        <v>542741</v>
      </c>
      <c r="V143" s="1" t="s">
        <v>171</v>
      </c>
      <c r="W143" s="1" t="s">
        <v>33</v>
      </c>
      <c r="X143" t="s">
        <v>34</v>
      </c>
      <c r="Y143" s="16">
        <v>0</v>
      </c>
      <c r="Z143" s="16">
        <v>0</v>
      </c>
      <c r="AA143" s="15">
        <f t="shared" si="6"/>
        <v>0</v>
      </c>
      <c r="AC143" s="15">
        <f t="shared" si="7"/>
        <v>0</v>
      </c>
      <c r="AD143" s="15">
        <f t="shared" si="8"/>
        <v>0</v>
      </c>
      <c r="AE143">
        <v>10</v>
      </c>
    </row>
    <row r="144" spans="1:31" x14ac:dyDescent="0.2">
      <c r="A144" s="14">
        <v>1</v>
      </c>
      <c r="B144" s="11">
        <v>542757</v>
      </c>
      <c r="C144" s="11">
        <v>542757</v>
      </c>
      <c r="D144" s="11">
        <v>5</v>
      </c>
      <c r="E144" s="12"/>
      <c r="F144" s="13" t="s">
        <v>172</v>
      </c>
      <c r="G144" s="10">
        <v>0</v>
      </c>
      <c r="H144" s="10">
        <v>0</v>
      </c>
      <c r="I144" s="10">
        <v>0</v>
      </c>
      <c r="J144" s="10">
        <v>0</v>
      </c>
      <c r="K144" s="10">
        <v>121.95</v>
      </c>
      <c r="L144" s="10">
        <v>121.95</v>
      </c>
      <c r="M144" s="10">
        <v>121.95</v>
      </c>
      <c r="N144" s="10">
        <v>121.95</v>
      </c>
      <c r="O144" s="10">
        <v>0</v>
      </c>
      <c r="P144" s="10">
        <v>0</v>
      </c>
      <c r="Q144" s="1">
        <v>0</v>
      </c>
      <c r="R144" s="1">
        <v>0</v>
      </c>
      <c r="S144" s="1">
        <v>0</v>
      </c>
      <c r="T144" s="1">
        <v>0</v>
      </c>
      <c r="U144" s="1">
        <v>542757</v>
      </c>
      <c r="V144" s="1" t="s">
        <v>172</v>
      </c>
      <c r="W144" s="1" t="s">
        <v>33</v>
      </c>
      <c r="X144" t="s">
        <v>34</v>
      </c>
      <c r="Y144" s="16">
        <v>0</v>
      </c>
      <c r="Z144" s="16">
        <v>0</v>
      </c>
      <c r="AA144" s="15">
        <f t="shared" si="6"/>
        <v>0</v>
      </c>
      <c r="AC144" s="15">
        <f t="shared" si="7"/>
        <v>0</v>
      </c>
      <c r="AD144" s="15">
        <f t="shared" si="8"/>
        <v>0</v>
      </c>
      <c r="AE144">
        <v>10</v>
      </c>
    </row>
    <row r="145" spans="1:31" x14ac:dyDescent="0.2">
      <c r="A145" s="14">
        <v>1</v>
      </c>
      <c r="B145" s="11">
        <v>542758</v>
      </c>
      <c r="C145" s="11">
        <v>542758</v>
      </c>
      <c r="D145" s="11">
        <v>5</v>
      </c>
      <c r="E145" s="12"/>
      <c r="F145" s="13" t="s">
        <v>173</v>
      </c>
      <c r="G145" s="10">
        <v>0</v>
      </c>
      <c r="H145" s="10">
        <v>0</v>
      </c>
      <c r="I145" s="10">
        <v>0</v>
      </c>
      <c r="J145" s="10">
        <v>0</v>
      </c>
      <c r="K145" s="10">
        <v>0</v>
      </c>
      <c r="L145" s="10">
        <v>0</v>
      </c>
      <c r="M145" s="10">
        <v>0</v>
      </c>
      <c r="N145" s="10">
        <v>0</v>
      </c>
      <c r="O145" s="10">
        <v>0</v>
      </c>
      <c r="P145" s="10">
        <v>0</v>
      </c>
      <c r="Q145" s="1">
        <v>0</v>
      </c>
      <c r="R145" s="1">
        <v>0</v>
      </c>
      <c r="S145" s="1">
        <v>0</v>
      </c>
      <c r="T145" s="1">
        <v>0</v>
      </c>
      <c r="U145" s="1">
        <v>542758</v>
      </c>
      <c r="V145" s="1" t="s">
        <v>173</v>
      </c>
      <c r="W145" s="1" t="s">
        <v>33</v>
      </c>
      <c r="X145" t="s">
        <v>34</v>
      </c>
      <c r="Y145" s="16">
        <v>0</v>
      </c>
      <c r="Z145" s="16">
        <v>0</v>
      </c>
      <c r="AA145" s="15">
        <f t="shared" si="6"/>
        <v>0</v>
      </c>
      <c r="AC145" s="15">
        <f t="shared" si="7"/>
        <v>0</v>
      </c>
      <c r="AD145" s="15">
        <f t="shared" si="8"/>
        <v>0</v>
      </c>
      <c r="AE145">
        <v>10</v>
      </c>
    </row>
    <row r="146" spans="1:31" x14ac:dyDescent="0.2">
      <c r="A146" s="14">
        <v>1</v>
      </c>
      <c r="B146" s="11">
        <v>581001</v>
      </c>
      <c r="C146" s="11">
        <v>581001</v>
      </c>
      <c r="D146" s="11">
        <v>5</v>
      </c>
      <c r="E146" s="12"/>
      <c r="F146" s="13" t="s">
        <v>174</v>
      </c>
      <c r="G146" s="10">
        <v>0</v>
      </c>
      <c r="H146" s="10">
        <v>0</v>
      </c>
      <c r="I146" s="10">
        <v>0</v>
      </c>
      <c r="J146" s="10">
        <v>0</v>
      </c>
      <c r="K146" s="10">
        <v>7259486.2999999998</v>
      </c>
      <c r="L146" s="10">
        <v>7259486.2999999998</v>
      </c>
      <c r="M146" s="10">
        <v>7259486.2999999998</v>
      </c>
      <c r="N146" s="10">
        <v>7259486.2999999998</v>
      </c>
      <c r="O146" s="10">
        <v>0</v>
      </c>
      <c r="P146" s="10">
        <v>0</v>
      </c>
      <c r="Q146" s="1">
        <v>0</v>
      </c>
      <c r="R146" s="1">
        <v>0</v>
      </c>
      <c r="S146" s="1">
        <v>0</v>
      </c>
      <c r="T146" s="1">
        <v>0</v>
      </c>
      <c r="U146" s="1">
        <v>581001</v>
      </c>
      <c r="V146" s="1" t="s">
        <v>174</v>
      </c>
      <c r="W146" s="1" t="s">
        <v>33</v>
      </c>
      <c r="X146" t="s">
        <v>34</v>
      </c>
      <c r="Y146" s="16">
        <v>0</v>
      </c>
      <c r="Z146" s="16">
        <v>0</v>
      </c>
      <c r="AA146" s="15">
        <f t="shared" si="6"/>
        <v>0</v>
      </c>
      <c r="AC146" s="15">
        <f t="shared" si="7"/>
        <v>0</v>
      </c>
      <c r="AD146" s="15">
        <f t="shared" si="8"/>
        <v>0</v>
      </c>
    </row>
    <row r="147" spans="1:31" x14ac:dyDescent="0.2">
      <c r="A147" s="14">
        <v>1</v>
      </c>
      <c r="B147" s="11">
        <v>581002</v>
      </c>
      <c r="C147" s="11">
        <v>581002</v>
      </c>
      <c r="D147" s="11">
        <v>5</v>
      </c>
      <c r="E147" s="12"/>
      <c r="F147" s="13" t="s">
        <v>175</v>
      </c>
      <c r="G147" s="10">
        <v>0</v>
      </c>
      <c r="H147" s="10">
        <v>0</v>
      </c>
      <c r="I147" s="10">
        <v>0</v>
      </c>
      <c r="J147" s="10">
        <v>0</v>
      </c>
      <c r="K147" s="10">
        <v>-23709.05</v>
      </c>
      <c r="L147" s="10">
        <v>-23709.05</v>
      </c>
      <c r="M147" s="10">
        <v>-23709.05</v>
      </c>
      <c r="N147" s="10">
        <v>-23709.05</v>
      </c>
      <c r="O147" s="10">
        <v>0</v>
      </c>
      <c r="P147" s="10">
        <v>0</v>
      </c>
      <c r="Q147" s="1">
        <v>0</v>
      </c>
      <c r="R147" s="1">
        <v>0</v>
      </c>
      <c r="S147" s="1">
        <v>0</v>
      </c>
      <c r="T147" s="1">
        <v>0</v>
      </c>
      <c r="U147" s="1">
        <v>581002</v>
      </c>
      <c r="V147" s="1" t="s">
        <v>175</v>
      </c>
      <c r="W147" s="1" t="s">
        <v>33</v>
      </c>
      <c r="X147" t="s">
        <v>34</v>
      </c>
      <c r="Y147" s="16">
        <v>0</v>
      </c>
      <c r="Z147" s="16">
        <v>0</v>
      </c>
      <c r="AA147" s="15">
        <f t="shared" si="6"/>
        <v>0</v>
      </c>
      <c r="AC147" s="15">
        <f t="shared" si="7"/>
        <v>0</v>
      </c>
      <c r="AD147" s="15">
        <f t="shared" si="8"/>
        <v>0</v>
      </c>
    </row>
    <row r="148" spans="1:31" x14ac:dyDescent="0.2">
      <c r="A148" s="14">
        <v>1</v>
      </c>
      <c r="B148" s="11">
        <v>602201</v>
      </c>
      <c r="C148" s="11">
        <v>602201</v>
      </c>
      <c r="D148" s="11">
        <v>6</v>
      </c>
      <c r="E148" s="12"/>
      <c r="F148" s="13" t="s">
        <v>176</v>
      </c>
      <c r="G148" s="10">
        <v>0</v>
      </c>
      <c r="H148" s="10">
        <v>0</v>
      </c>
      <c r="I148" s="10">
        <v>0</v>
      </c>
      <c r="J148" s="10">
        <v>0</v>
      </c>
      <c r="K148" s="10">
        <v>35838.379999999997</v>
      </c>
      <c r="L148" s="10">
        <v>35838.379999999997</v>
      </c>
      <c r="M148" s="10">
        <v>35838.379999999997</v>
      </c>
      <c r="N148" s="10">
        <v>35838.379999999997</v>
      </c>
      <c r="O148" s="10">
        <v>0</v>
      </c>
      <c r="P148" s="10">
        <v>0</v>
      </c>
      <c r="Q148" s="1">
        <v>0</v>
      </c>
      <c r="R148" s="1">
        <v>0</v>
      </c>
      <c r="S148" s="1">
        <v>0</v>
      </c>
      <c r="T148" s="1">
        <v>0</v>
      </c>
      <c r="U148" s="1">
        <v>602201</v>
      </c>
      <c r="V148" s="1" t="s">
        <v>176</v>
      </c>
      <c r="W148" s="1" t="s">
        <v>33</v>
      </c>
      <c r="X148" t="s">
        <v>34</v>
      </c>
      <c r="Y148" s="16">
        <v>0</v>
      </c>
      <c r="Z148" s="16">
        <v>0</v>
      </c>
      <c r="AA148" s="15">
        <f t="shared" si="6"/>
        <v>0</v>
      </c>
      <c r="AC148" s="15">
        <f t="shared" si="7"/>
        <v>0</v>
      </c>
      <c r="AD148" s="15">
        <f t="shared" si="8"/>
        <v>0</v>
      </c>
    </row>
    <row r="149" spans="1:31" x14ac:dyDescent="0.2">
      <c r="A149" s="14">
        <v>1</v>
      </c>
      <c r="B149" s="11">
        <v>602700</v>
      </c>
      <c r="C149" s="11">
        <v>602700</v>
      </c>
      <c r="D149" s="11">
        <v>6</v>
      </c>
      <c r="E149" s="12"/>
      <c r="F149" s="13" t="s">
        <v>177</v>
      </c>
      <c r="G149" s="10">
        <v>0</v>
      </c>
      <c r="H149" s="10">
        <v>0</v>
      </c>
      <c r="I149" s="10">
        <v>0</v>
      </c>
      <c r="J149" s="10">
        <v>0</v>
      </c>
      <c r="K149" s="10">
        <v>1100</v>
      </c>
      <c r="L149" s="10">
        <v>1100</v>
      </c>
      <c r="M149" s="10">
        <v>1100</v>
      </c>
      <c r="N149" s="10">
        <v>1100</v>
      </c>
      <c r="O149" s="10">
        <v>0</v>
      </c>
      <c r="P149" s="10">
        <v>0</v>
      </c>
      <c r="Q149" s="1">
        <v>0</v>
      </c>
      <c r="R149" s="1">
        <v>0</v>
      </c>
      <c r="S149" s="1">
        <v>0</v>
      </c>
      <c r="T149" s="1">
        <v>0</v>
      </c>
      <c r="U149" s="1">
        <v>602700</v>
      </c>
      <c r="V149" s="1" t="s">
        <v>177</v>
      </c>
      <c r="W149" s="1" t="s">
        <v>33</v>
      </c>
      <c r="X149" t="s">
        <v>34</v>
      </c>
      <c r="Y149" s="16">
        <v>0</v>
      </c>
      <c r="Z149" s="16">
        <v>0</v>
      </c>
      <c r="AA149" s="15">
        <f t="shared" si="6"/>
        <v>0</v>
      </c>
      <c r="AC149" s="15">
        <f t="shared" si="7"/>
        <v>0</v>
      </c>
      <c r="AD149" s="15">
        <f t="shared" si="8"/>
        <v>0</v>
      </c>
    </row>
    <row r="150" spans="1:31" x14ac:dyDescent="0.2">
      <c r="A150" s="14">
        <v>1</v>
      </c>
      <c r="B150" s="11">
        <v>602800</v>
      </c>
      <c r="C150" s="11">
        <v>602800</v>
      </c>
      <c r="D150" s="11">
        <v>6</v>
      </c>
      <c r="E150" s="12"/>
      <c r="F150" s="13" t="s">
        <v>178</v>
      </c>
      <c r="G150" s="10">
        <v>0</v>
      </c>
      <c r="H150" s="10">
        <v>0</v>
      </c>
      <c r="I150" s="10">
        <v>0</v>
      </c>
      <c r="J150" s="10">
        <v>0</v>
      </c>
      <c r="K150" s="10">
        <v>114.05</v>
      </c>
      <c r="L150" s="10">
        <v>114.05</v>
      </c>
      <c r="M150" s="10">
        <v>114.05</v>
      </c>
      <c r="N150" s="10">
        <v>114.05</v>
      </c>
      <c r="O150" s="10">
        <v>0</v>
      </c>
      <c r="P150" s="10">
        <v>0</v>
      </c>
      <c r="Q150" s="1">
        <v>0</v>
      </c>
      <c r="R150" s="1">
        <v>0</v>
      </c>
      <c r="S150" s="1">
        <v>0</v>
      </c>
      <c r="T150" s="1">
        <v>0</v>
      </c>
      <c r="U150" s="1">
        <v>602800</v>
      </c>
      <c r="V150" s="1" t="s">
        <v>178</v>
      </c>
      <c r="W150" s="1" t="s">
        <v>33</v>
      </c>
      <c r="X150" t="s">
        <v>34</v>
      </c>
      <c r="Y150" s="16">
        <v>0</v>
      </c>
      <c r="Z150" s="16">
        <v>0</v>
      </c>
      <c r="AA150" s="15">
        <f t="shared" si="6"/>
        <v>0</v>
      </c>
      <c r="AC150" s="15">
        <f t="shared" si="7"/>
        <v>0</v>
      </c>
      <c r="AD150" s="15">
        <f t="shared" si="8"/>
        <v>0</v>
      </c>
    </row>
    <row r="151" spans="1:31" x14ac:dyDescent="0.2">
      <c r="A151" s="14">
        <v>1</v>
      </c>
      <c r="B151" s="11">
        <v>603000</v>
      </c>
      <c r="C151" s="11">
        <v>603000</v>
      </c>
      <c r="D151" s="11">
        <v>6</v>
      </c>
      <c r="E151" s="12"/>
      <c r="F151" s="13" t="s">
        <v>179</v>
      </c>
      <c r="G151" s="10">
        <v>0</v>
      </c>
      <c r="H151" s="10">
        <v>0</v>
      </c>
      <c r="I151" s="10">
        <v>0</v>
      </c>
      <c r="J151" s="10">
        <v>0</v>
      </c>
      <c r="K151" s="10">
        <v>3541.25</v>
      </c>
      <c r="L151" s="10">
        <v>3541.25</v>
      </c>
      <c r="M151" s="10">
        <v>3541.25</v>
      </c>
      <c r="N151" s="10">
        <v>3541.25</v>
      </c>
      <c r="O151" s="10">
        <v>0</v>
      </c>
      <c r="P151" s="10">
        <v>0</v>
      </c>
      <c r="Q151" s="1">
        <v>0</v>
      </c>
      <c r="R151" s="1">
        <v>0</v>
      </c>
      <c r="S151" s="1">
        <v>0</v>
      </c>
      <c r="T151" s="1">
        <v>0</v>
      </c>
      <c r="U151" s="1">
        <v>603000</v>
      </c>
      <c r="V151" s="1" t="s">
        <v>179</v>
      </c>
      <c r="W151" s="1" t="s">
        <v>33</v>
      </c>
      <c r="X151" t="s">
        <v>34</v>
      </c>
      <c r="Y151" s="16">
        <v>0</v>
      </c>
      <c r="Z151" s="16">
        <v>0</v>
      </c>
      <c r="AA151" s="15">
        <f t="shared" si="6"/>
        <v>0</v>
      </c>
      <c r="AC151" s="15">
        <f t="shared" si="7"/>
        <v>0</v>
      </c>
      <c r="AD151" s="15">
        <f t="shared" si="8"/>
        <v>0</v>
      </c>
    </row>
    <row r="152" spans="1:31" x14ac:dyDescent="0.2">
      <c r="A152" s="14">
        <v>1</v>
      </c>
      <c r="B152" s="11">
        <v>603001</v>
      </c>
      <c r="C152" s="11">
        <v>603001</v>
      </c>
      <c r="D152" s="11">
        <v>6</v>
      </c>
      <c r="E152" s="12"/>
      <c r="F152" s="13" t="s">
        <v>180</v>
      </c>
      <c r="G152" s="10">
        <v>0</v>
      </c>
      <c r="H152" s="10">
        <v>0</v>
      </c>
      <c r="I152" s="10">
        <v>0</v>
      </c>
      <c r="J152" s="10">
        <v>0</v>
      </c>
      <c r="K152" s="10">
        <v>7139.99</v>
      </c>
      <c r="L152" s="10">
        <v>7139.99</v>
      </c>
      <c r="M152" s="10">
        <v>7139.99</v>
      </c>
      <c r="N152" s="10">
        <v>7139.99</v>
      </c>
      <c r="O152" s="10">
        <v>0</v>
      </c>
      <c r="P152" s="10">
        <v>0</v>
      </c>
      <c r="Q152" s="1">
        <v>0</v>
      </c>
      <c r="R152" s="1">
        <v>0</v>
      </c>
      <c r="S152" s="1">
        <v>0</v>
      </c>
      <c r="T152" s="1">
        <v>0</v>
      </c>
      <c r="U152" s="1">
        <v>603001</v>
      </c>
      <c r="V152" s="1" t="s">
        <v>180</v>
      </c>
      <c r="W152" s="1" t="s">
        <v>33</v>
      </c>
      <c r="X152" t="s">
        <v>34</v>
      </c>
      <c r="Y152" s="16">
        <v>0</v>
      </c>
      <c r="Z152" s="16">
        <v>0</v>
      </c>
      <c r="AA152" s="15">
        <f t="shared" si="6"/>
        <v>0</v>
      </c>
      <c r="AC152" s="15">
        <f t="shared" si="7"/>
        <v>0</v>
      </c>
      <c r="AD152" s="15">
        <f t="shared" si="8"/>
        <v>0</v>
      </c>
    </row>
    <row r="153" spans="1:31" x14ac:dyDescent="0.2">
      <c r="A153" s="14">
        <v>1</v>
      </c>
      <c r="B153" s="11">
        <v>604000</v>
      </c>
      <c r="C153" s="11">
        <v>604000</v>
      </c>
      <c r="D153" s="11">
        <v>6</v>
      </c>
      <c r="E153" s="12"/>
      <c r="F153" s="13" t="s">
        <v>181</v>
      </c>
      <c r="G153" s="10">
        <v>0</v>
      </c>
      <c r="H153" s="10">
        <v>0</v>
      </c>
      <c r="I153" s="10">
        <v>0</v>
      </c>
      <c r="J153" s="10">
        <v>0</v>
      </c>
      <c r="K153" s="10">
        <v>2200</v>
      </c>
      <c r="L153" s="10">
        <v>2200</v>
      </c>
      <c r="M153" s="10">
        <v>2200</v>
      </c>
      <c r="N153" s="10">
        <v>2200</v>
      </c>
      <c r="O153" s="10">
        <v>0</v>
      </c>
      <c r="P153" s="10">
        <v>0</v>
      </c>
      <c r="Q153" s="1">
        <v>0</v>
      </c>
      <c r="R153" s="1">
        <v>0</v>
      </c>
      <c r="S153" s="1">
        <v>0</v>
      </c>
      <c r="T153" s="1">
        <v>0</v>
      </c>
      <c r="U153" s="1">
        <v>604000</v>
      </c>
      <c r="V153" s="1" t="s">
        <v>181</v>
      </c>
      <c r="W153" s="1" t="s">
        <v>33</v>
      </c>
      <c r="X153" t="s">
        <v>34</v>
      </c>
      <c r="Y153" s="16">
        <v>0</v>
      </c>
      <c r="Z153" s="16">
        <v>0</v>
      </c>
      <c r="AA153" s="15">
        <f t="shared" si="6"/>
        <v>0</v>
      </c>
      <c r="AC153" s="15">
        <f t="shared" si="7"/>
        <v>0</v>
      </c>
      <c r="AD153" s="15">
        <f t="shared" si="8"/>
        <v>0</v>
      </c>
    </row>
    <row r="154" spans="1:31" x14ac:dyDescent="0.2">
      <c r="A154" s="14">
        <v>1</v>
      </c>
      <c r="B154" s="11">
        <v>604100</v>
      </c>
      <c r="C154" s="11">
        <v>604100</v>
      </c>
      <c r="D154" s="11">
        <v>6</v>
      </c>
      <c r="E154" s="12"/>
      <c r="F154" s="13" t="s">
        <v>182</v>
      </c>
      <c r="G154" s="10">
        <v>0</v>
      </c>
      <c r="H154" s="10">
        <v>0</v>
      </c>
      <c r="I154" s="10">
        <v>0</v>
      </c>
      <c r="J154" s="10">
        <v>0</v>
      </c>
      <c r="K154" s="10">
        <v>23</v>
      </c>
      <c r="L154" s="10">
        <v>23</v>
      </c>
      <c r="M154" s="10">
        <v>23</v>
      </c>
      <c r="N154" s="10">
        <v>23</v>
      </c>
      <c r="O154" s="10">
        <v>0</v>
      </c>
      <c r="P154" s="10">
        <v>0</v>
      </c>
      <c r="Q154" s="1">
        <v>0</v>
      </c>
      <c r="R154" s="1">
        <v>0</v>
      </c>
      <c r="S154" s="1">
        <v>0</v>
      </c>
      <c r="T154" s="1">
        <v>0</v>
      </c>
      <c r="U154" s="1">
        <v>604100</v>
      </c>
      <c r="V154" s="1" t="s">
        <v>182</v>
      </c>
      <c r="W154" s="1" t="s">
        <v>33</v>
      </c>
      <c r="X154" t="s">
        <v>34</v>
      </c>
      <c r="Y154" s="16">
        <v>0</v>
      </c>
      <c r="Z154" s="16">
        <v>0</v>
      </c>
      <c r="AA154" s="15">
        <f t="shared" si="6"/>
        <v>0</v>
      </c>
      <c r="AC154" s="15">
        <f t="shared" si="7"/>
        <v>0</v>
      </c>
      <c r="AD154" s="15">
        <f t="shared" si="8"/>
        <v>0</v>
      </c>
    </row>
    <row r="155" spans="1:31" x14ac:dyDescent="0.2">
      <c r="A155" s="14">
        <v>1</v>
      </c>
      <c r="B155" s="11">
        <v>604500</v>
      </c>
      <c r="C155" s="11">
        <v>604500</v>
      </c>
      <c r="D155" s="11">
        <v>6</v>
      </c>
      <c r="E155" s="12"/>
      <c r="F155" s="13" t="s">
        <v>183</v>
      </c>
      <c r="G155" s="10">
        <v>0</v>
      </c>
      <c r="H155" s="10">
        <v>0</v>
      </c>
      <c r="I155" s="10">
        <v>0</v>
      </c>
      <c r="J155" s="10">
        <v>0</v>
      </c>
      <c r="K155" s="10">
        <v>66.900000000000006</v>
      </c>
      <c r="L155" s="10">
        <v>66.900000000000006</v>
      </c>
      <c r="M155" s="10">
        <v>66.900000000000006</v>
      </c>
      <c r="N155" s="10">
        <v>66.900000000000006</v>
      </c>
      <c r="O155" s="10">
        <v>0</v>
      </c>
      <c r="P155" s="10">
        <v>0</v>
      </c>
      <c r="Q155" s="1">
        <v>0</v>
      </c>
      <c r="R155" s="1">
        <v>0</v>
      </c>
      <c r="S155" s="1">
        <v>0</v>
      </c>
      <c r="T155" s="1">
        <v>0</v>
      </c>
      <c r="U155" s="1">
        <v>604500</v>
      </c>
      <c r="V155" s="1" t="s">
        <v>183</v>
      </c>
      <c r="W155" s="1" t="s">
        <v>33</v>
      </c>
      <c r="X155" t="s">
        <v>34</v>
      </c>
      <c r="Y155" s="16">
        <v>0</v>
      </c>
      <c r="Z155" s="16">
        <v>0</v>
      </c>
      <c r="AA155" s="15">
        <f t="shared" si="6"/>
        <v>0</v>
      </c>
      <c r="AC155" s="15">
        <f t="shared" si="7"/>
        <v>0</v>
      </c>
      <c r="AD155" s="15">
        <f t="shared" si="8"/>
        <v>0</v>
      </c>
    </row>
    <row r="156" spans="1:31" x14ac:dyDescent="0.2">
      <c r="A156" s="14">
        <v>1</v>
      </c>
      <c r="B156" s="11">
        <v>604600</v>
      </c>
      <c r="C156" s="11">
        <v>604600</v>
      </c>
      <c r="D156" s="11">
        <v>6</v>
      </c>
      <c r="E156" s="12"/>
      <c r="F156" s="13" t="s">
        <v>184</v>
      </c>
      <c r="G156" s="10">
        <v>0</v>
      </c>
      <c r="H156" s="10">
        <v>0</v>
      </c>
      <c r="I156" s="10">
        <v>0</v>
      </c>
      <c r="J156" s="10">
        <v>0</v>
      </c>
      <c r="K156" s="10">
        <v>137.72999999999999</v>
      </c>
      <c r="L156" s="10">
        <v>137.72999999999999</v>
      </c>
      <c r="M156" s="10">
        <v>137.72999999999999</v>
      </c>
      <c r="N156" s="10">
        <v>137.72999999999999</v>
      </c>
      <c r="O156" s="10">
        <v>0</v>
      </c>
      <c r="P156" s="10">
        <v>0</v>
      </c>
      <c r="Q156" s="1">
        <v>0</v>
      </c>
      <c r="R156" s="1">
        <v>0</v>
      </c>
      <c r="S156" s="1">
        <v>0</v>
      </c>
      <c r="T156" s="1">
        <v>0</v>
      </c>
      <c r="U156" s="1">
        <v>604600</v>
      </c>
      <c r="V156" s="1" t="s">
        <v>184</v>
      </c>
      <c r="W156" s="1" t="s">
        <v>33</v>
      </c>
      <c r="X156" t="s">
        <v>34</v>
      </c>
      <c r="Y156" s="16">
        <v>0</v>
      </c>
      <c r="Z156" s="16">
        <v>0</v>
      </c>
      <c r="AA156" s="15">
        <f t="shared" si="6"/>
        <v>0</v>
      </c>
      <c r="AC156" s="15">
        <f t="shared" si="7"/>
        <v>0</v>
      </c>
      <c r="AD156" s="15">
        <f t="shared" si="8"/>
        <v>0</v>
      </c>
    </row>
    <row r="157" spans="1:31" x14ac:dyDescent="0.2">
      <c r="A157" s="14">
        <v>1</v>
      </c>
      <c r="B157" s="11">
        <v>604700</v>
      </c>
      <c r="C157" s="11">
        <v>604700</v>
      </c>
      <c r="D157" s="11">
        <v>6</v>
      </c>
      <c r="E157" s="12"/>
      <c r="F157" s="13" t="s">
        <v>185</v>
      </c>
      <c r="G157" s="10">
        <v>0</v>
      </c>
      <c r="H157" s="10">
        <v>0</v>
      </c>
      <c r="I157" s="10">
        <v>0</v>
      </c>
      <c r="J157" s="10">
        <v>0</v>
      </c>
      <c r="K157" s="10">
        <v>3584.88</v>
      </c>
      <c r="L157" s="10">
        <v>3584.88</v>
      </c>
      <c r="M157" s="10">
        <v>3584.88</v>
      </c>
      <c r="N157" s="10">
        <v>3584.88</v>
      </c>
      <c r="O157" s="10">
        <v>0</v>
      </c>
      <c r="P157" s="10">
        <v>0</v>
      </c>
      <c r="Q157" s="1">
        <v>0</v>
      </c>
      <c r="R157" s="1">
        <v>0</v>
      </c>
      <c r="S157" s="1">
        <v>0</v>
      </c>
      <c r="T157" s="1">
        <v>0</v>
      </c>
      <c r="U157" s="1">
        <v>604700</v>
      </c>
      <c r="V157" s="1" t="s">
        <v>185</v>
      </c>
      <c r="W157" s="1" t="s">
        <v>33</v>
      </c>
      <c r="X157" t="s">
        <v>34</v>
      </c>
      <c r="Y157" s="16">
        <v>0</v>
      </c>
      <c r="Z157" s="16">
        <v>0</v>
      </c>
      <c r="AA157" s="15">
        <f t="shared" si="6"/>
        <v>0</v>
      </c>
      <c r="AC157" s="15">
        <f t="shared" si="7"/>
        <v>0</v>
      </c>
      <c r="AD157" s="15">
        <f t="shared" si="8"/>
        <v>0</v>
      </c>
    </row>
    <row r="158" spans="1:31" x14ac:dyDescent="0.2">
      <c r="A158" s="14">
        <v>1</v>
      </c>
      <c r="B158" s="11">
        <v>605100</v>
      </c>
      <c r="C158" s="11">
        <v>605100</v>
      </c>
      <c r="D158" s="11">
        <v>6</v>
      </c>
      <c r="E158" s="12"/>
      <c r="F158" s="13" t="s">
        <v>186</v>
      </c>
      <c r="G158" s="10">
        <v>0</v>
      </c>
      <c r="H158" s="10">
        <v>0</v>
      </c>
      <c r="I158" s="10">
        <v>0</v>
      </c>
      <c r="J158" s="10">
        <v>0</v>
      </c>
      <c r="K158" s="10">
        <v>14637.91</v>
      </c>
      <c r="L158" s="10">
        <v>14637.91</v>
      </c>
      <c r="M158" s="10">
        <v>14637.91</v>
      </c>
      <c r="N158" s="10">
        <v>14637.91</v>
      </c>
      <c r="O158" s="10">
        <v>0</v>
      </c>
      <c r="P158" s="10">
        <v>0</v>
      </c>
      <c r="Q158" s="1">
        <v>0</v>
      </c>
      <c r="R158" s="1">
        <v>0</v>
      </c>
      <c r="S158" s="1">
        <v>0</v>
      </c>
      <c r="T158" s="1">
        <v>0</v>
      </c>
      <c r="U158" s="1">
        <v>605100</v>
      </c>
      <c r="V158" s="1" t="s">
        <v>186</v>
      </c>
      <c r="W158" s="1" t="s">
        <v>33</v>
      </c>
      <c r="X158" t="s">
        <v>34</v>
      </c>
      <c r="Y158" s="16">
        <v>0</v>
      </c>
      <c r="Z158" s="16">
        <v>0</v>
      </c>
      <c r="AA158" s="15">
        <f t="shared" si="6"/>
        <v>0</v>
      </c>
      <c r="AC158" s="15">
        <f t="shared" si="7"/>
        <v>0</v>
      </c>
      <c r="AD158" s="15">
        <f t="shared" si="8"/>
        <v>0</v>
      </c>
    </row>
    <row r="159" spans="1:31" x14ac:dyDescent="0.2">
      <c r="A159" s="14">
        <v>1</v>
      </c>
      <c r="B159" s="11">
        <v>605110</v>
      </c>
      <c r="C159" s="11">
        <v>605110</v>
      </c>
      <c r="D159" s="11">
        <v>6</v>
      </c>
      <c r="E159" s="12"/>
      <c r="F159" s="13" t="s">
        <v>186</v>
      </c>
      <c r="G159" s="10">
        <v>0</v>
      </c>
      <c r="H159" s="10">
        <v>0</v>
      </c>
      <c r="I159" s="10">
        <v>0</v>
      </c>
      <c r="J159" s="10">
        <v>0</v>
      </c>
      <c r="K159" s="10">
        <v>17841.68</v>
      </c>
      <c r="L159" s="10">
        <v>17841.68</v>
      </c>
      <c r="M159" s="10">
        <v>17841.68</v>
      </c>
      <c r="N159" s="10">
        <v>17841.68</v>
      </c>
      <c r="O159" s="10">
        <v>0</v>
      </c>
      <c r="P159" s="10">
        <v>0</v>
      </c>
      <c r="Q159" s="1">
        <v>0</v>
      </c>
      <c r="R159" s="1">
        <v>0</v>
      </c>
      <c r="S159" s="1">
        <v>0</v>
      </c>
      <c r="T159" s="1">
        <v>0</v>
      </c>
      <c r="U159" s="1">
        <v>605110</v>
      </c>
      <c r="V159" s="1" t="s">
        <v>186</v>
      </c>
      <c r="W159" s="1" t="s">
        <v>33</v>
      </c>
      <c r="X159" t="s">
        <v>34</v>
      </c>
      <c r="Y159" s="16">
        <v>0</v>
      </c>
      <c r="Z159" s="16">
        <v>0</v>
      </c>
      <c r="AA159" s="15">
        <f t="shared" si="6"/>
        <v>0</v>
      </c>
      <c r="AC159" s="15">
        <f t="shared" si="7"/>
        <v>0</v>
      </c>
      <c r="AD159" s="15">
        <f t="shared" si="8"/>
        <v>0</v>
      </c>
    </row>
    <row r="160" spans="1:31" x14ac:dyDescent="0.2">
      <c r="A160" s="14">
        <v>1</v>
      </c>
      <c r="B160" s="11">
        <v>605210</v>
      </c>
      <c r="C160" s="11">
        <v>605210</v>
      </c>
      <c r="D160" s="11">
        <v>6</v>
      </c>
      <c r="E160" s="12"/>
      <c r="F160" s="13" t="s">
        <v>187</v>
      </c>
      <c r="G160" s="10">
        <v>0</v>
      </c>
      <c r="H160" s="10">
        <v>0</v>
      </c>
      <c r="I160" s="10">
        <v>0</v>
      </c>
      <c r="J160" s="10">
        <v>0</v>
      </c>
      <c r="K160" s="10">
        <v>5180.0200000000004</v>
      </c>
      <c r="L160" s="10">
        <v>5180.0200000000004</v>
      </c>
      <c r="M160" s="10">
        <v>5180.0200000000004</v>
      </c>
      <c r="N160" s="10">
        <v>5180.0200000000004</v>
      </c>
      <c r="O160" s="10">
        <v>0</v>
      </c>
      <c r="P160" s="10">
        <v>0</v>
      </c>
      <c r="Q160" s="1">
        <v>0</v>
      </c>
      <c r="R160" s="1">
        <v>0</v>
      </c>
      <c r="S160" s="1">
        <v>0</v>
      </c>
      <c r="T160" s="1">
        <v>0</v>
      </c>
      <c r="U160" s="1">
        <v>605210</v>
      </c>
      <c r="V160" s="1" t="s">
        <v>187</v>
      </c>
      <c r="W160" s="1" t="s">
        <v>33</v>
      </c>
      <c r="X160" t="s">
        <v>34</v>
      </c>
      <c r="Y160" s="16">
        <v>0</v>
      </c>
      <c r="Z160" s="16">
        <v>0</v>
      </c>
      <c r="AA160" s="15">
        <f t="shared" si="6"/>
        <v>0</v>
      </c>
      <c r="AC160" s="15">
        <f t="shared" si="7"/>
        <v>0</v>
      </c>
      <c r="AD160" s="15">
        <f t="shared" si="8"/>
        <v>0</v>
      </c>
    </row>
    <row r="161" spans="1:30" x14ac:dyDescent="0.2">
      <c r="A161" s="14">
        <v>1</v>
      </c>
      <c r="B161" s="11">
        <v>605310</v>
      </c>
      <c r="C161" s="11">
        <v>605310</v>
      </c>
      <c r="D161" s="11">
        <v>6</v>
      </c>
      <c r="E161" s="12"/>
      <c r="F161" s="13" t="s">
        <v>188</v>
      </c>
      <c r="G161" s="10">
        <v>0</v>
      </c>
      <c r="H161" s="10">
        <v>0</v>
      </c>
      <c r="I161" s="10">
        <v>0</v>
      </c>
      <c r="J161" s="10">
        <v>0</v>
      </c>
      <c r="K161" s="10">
        <v>26935.77</v>
      </c>
      <c r="L161" s="10">
        <v>26935.77</v>
      </c>
      <c r="M161" s="10">
        <v>26935.77</v>
      </c>
      <c r="N161" s="10">
        <v>26935.77</v>
      </c>
      <c r="O161" s="10">
        <v>0</v>
      </c>
      <c r="P161" s="10">
        <v>0</v>
      </c>
      <c r="Q161" s="1">
        <v>0</v>
      </c>
      <c r="R161" s="1">
        <v>0</v>
      </c>
      <c r="S161" s="1">
        <v>0</v>
      </c>
      <c r="T161" s="1">
        <v>0</v>
      </c>
      <c r="U161" s="1">
        <v>605310</v>
      </c>
      <c r="V161" s="1" t="s">
        <v>188</v>
      </c>
      <c r="W161" s="1" t="s">
        <v>33</v>
      </c>
      <c r="X161" t="s">
        <v>34</v>
      </c>
      <c r="Y161" s="16">
        <v>0</v>
      </c>
      <c r="Z161" s="16">
        <v>0</v>
      </c>
      <c r="AA161" s="15">
        <f t="shared" si="6"/>
        <v>0</v>
      </c>
      <c r="AC161" s="15">
        <f t="shared" si="7"/>
        <v>0</v>
      </c>
      <c r="AD161" s="15">
        <f t="shared" si="8"/>
        <v>0</v>
      </c>
    </row>
    <row r="162" spans="1:30" x14ac:dyDescent="0.2">
      <c r="A162" s="14">
        <v>1</v>
      </c>
      <c r="B162" s="11">
        <v>605400</v>
      </c>
      <c r="C162" s="11">
        <v>605400</v>
      </c>
      <c r="D162" s="11">
        <v>6</v>
      </c>
      <c r="E162" s="12"/>
      <c r="F162" s="13" t="s">
        <v>189</v>
      </c>
      <c r="G162" s="10">
        <v>0</v>
      </c>
      <c r="H162" s="10">
        <v>0</v>
      </c>
      <c r="I162" s="10">
        <v>0</v>
      </c>
      <c r="J162" s="10">
        <v>0</v>
      </c>
      <c r="K162" s="10">
        <v>216.21</v>
      </c>
      <c r="L162" s="10">
        <v>216.21</v>
      </c>
      <c r="M162" s="10">
        <v>216.21</v>
      </c>
      <c r="N162" s="10">
        <v>216.21</v>
      </c>
      <c r="O162" s="10">
        <v>0</v>
      </c>
      <c r="P162" s="10">
        <v>0</v>
      </c>
      <c r="Q162" s="1">
        <v>0</v>
      </c>
      <c r="R162" s="1">
        <v>0</v>
      </c>
      <c r="S162" s="1">
        <v>0</v>
      </c>
      <c r="T162" s="1">
        <v>0</v>
      </c>
      <c r="U162" s="1">
        <v>605400</v>
      </c>
      <c r="V162" s="1" t="s">
        <v>189</v>
      </c>
      <c r="W162" s="1" t="s">
        <v>33</v>
      </c>
      <c r="X162" t="s">
        <v>34</v>
      </c>
      <c r="Y162" s="16">
        <v>0</v>
      </c>
      <c r="Z162" s="16">
        <v>0</v>
      </c>
      <c r="AA162" s="15">
        <f t="shared" si="6"/>
        <v>0</v>
      </c>
      <c r="AC162" s="15">
        <f t="shared" si="7"/>
        <v>0</v>
      </c>
      <c r="AD162" s="15">
        <f t="shared" si="8"/>
        <v>0</v>
      </c>
    </row>
    <row r="163" spans="1:30" x14ac:dyDescent="0.2">
      <c r="A163" s="14">
        <v>1</v>
      </c>
      <c r="B163" s="11">
        <v>607200</v>
      </c>
      <c r="C163" s="11">
        <v>607200</v>
      </c>
      <c r="D163" s="11">
        <v>6</v>
      </c>
      <c r="E163" s="12"/>
      <c r="F163" s="13" t="s">
        <v>190</v>
      </c>
      <c r="G163" s="10">
        <v>0</v>
      </c>
      <c r="H163" s="10">
        <v>0</v>
      </c>
      <c r="I163" s="10">
        <v>0</v>
      </c>
      <c r="J163" s="10">
        <v>0</v>
      </c>
      <c r="K163" s="10">
        <v>32763368.57</v>
      </c>
      <c r="L163" s="10">
        <v>32763368.57</v>
      </c>
      <c r="M163" s="10">
        <v>32763368.57</v>
      </c>
      <c r="N163" s="10">
        <v>32763368.57</v>
      </c>
      <c r="O163" s="10">
        <v>0</v>
      </c>
      <c r="P163" s="10">
        <v>0</v>
      </c>
      <c r="Q163" s="1">
        <v>0</v>
      </c>
      <c r="R163" s="1">
        <v>0</v>
      </c>
      <c r="S163" s="1">
        <v>0</v>
      </c>
      <c r="T163" s="1">
        <v>0</v>
      </c>
      <c r="U163" s="1">
        <v>607200</v>
      </c>
      <c r="V163" s="1" t="s">
        <v>190</v>
      </c>
      <c r="W163" s="1" t="s">
        <v>33</v>
      </c>
      <c r="X163" t="s">
        <v>34</v>
      </c>
      <c r="Y163" s="16">
        <v>0</v>
      </c>
      <c r="Z163" s="16">
        <v>0</v>
      </c>
      <c r="AA163" s="15">
        <f t="shared" si="6"/>
        <v>0</v>
      </c>
      <c r="AC163" s="15">
        <f t="shared" si="7"/>
        <v>0</v>
      </c>
      <c r="AD163" s="15">
        <f t="shared" si="8"/>
        <v>0</v>
      </c>
    </row>
    <row r="164" spans="1:30" x14ac:dyDescent="0.2">
      <c r="A164" s="14">
        <v>1</v>
      </c>
      <c r="B164" s="11">
        <v>607201</v>
      </c>
      <c r="C164" s="11">
        <v>607201</v>
      </c>
      <c r="D164" s="11">
        <v>6</v>
      </c>
      <c r="E164" s="12"/>
      <c r="F164" s="13" t="s">
        <v>191</v>
      </c>
      <c r="G164" s="10">
        <v>0</v>
      </c>
      <c r="H164" s="10">
        <v>0</v>
      </c>
      <c r="I164" s="10">
        <v>0</v>
      </c>
      <c r="J164" s="10">
        <v>0</v>
      </c>
      <c r="K164" s="10">
        <v>6385491.9800000004</v>
      </c>
      <c r="L164" s="10">
        <v>6385491.9800000004</v>
      </c>
      <c r="M164" s="10">
        <v>6385491.9800000004</v>
      </c>
      <c r="N164" s="10">
        <v>6385491.9800000004</v>
      </c>
      <c r="O164" s="10">
        <v>0</v>
      </c>
      <c r="P164" s="10">
        <v>0</v>
      </c>
      <c r="Q164" s="1">
        <v>0</v>
      </c>
      <c r="R164" s="1">
        <v>0</v>
      </c>
      <c r="S164" s="1">
        <v>0</v>
      </c>
      <c r="T164" s="1">
        <v>0</v>
      </c>
      <c r="U164" s="1">
        <v>607201</v>
      </c>
      <c r="V164" s="1" t="s">
        <v>191</v>
      </c>
      <c r="W164" s="1" t="s">
        <v>33</v>
      </c>
      <c r="X164" t="s">
        <v>34</v>
      </c>
      <c r="Y164" s="16">
        <v>0</v>
      </c>
      <c r="Z164" s="16">
        <v>0</v>
      </c>
      <c r="AA164" s="15">
        <f t="shared" si="6"/>
        <v>0</v>
      </c>
      <c r="AC164" s="15">
        <f t="shared" si="7"/>
        <v>0</v>
      </c>
      <c r="AD164" s="15">
        <f t="shared" si="8"/>
        <v>0</v>
      </c>
    </row>
    <row r="165" spans="1:30" x14ac:dyDescent="0.2">
      <c r="A165" s="14">
        <v>1</v>
      </c>
      <c r="B165" s="11">
        <v>607203</v>
      </c>
      <c r="C165" s="11">
        <v>607203</v>
      </c>
      <c r="D165" s="11">
        <v>6</v>
      </c>
      <c r="E165" s="12"/>
      <c r="F165" s="13" t="s">
        <v>192</v>
      </c>
      <c r="G165" s="10">
        <v>0</v>
      </c>
      <c r="H165" s="10">
        <v>0</v>
      </c>
      <c r="I165" s="10">
        <v>0</v>
      </c>
      <c r="J165" s="10">
        <v>0</v>
      </c>
      <c r="K165" s="10">
        <v>641174.43999999994</v>
      </c>
      <c r="L165" s="10">
        <v>641174.43999999994</v>
      </c>
      <c r="M165" s="10">
        <v>641174.43999999994</v>
      </c>
      <c r="N165" s="10">
        <v>641174.43999999994</v>
      </c>
      <c r="O165" s="10">
        <v>0</v>
      </c>
      <c r="P165" s="10">
        <v>0</v>
      </c>
      <c r="Q165" s="1">
        <v>0</v>
      </c>
      <c r="R165" s="1">
        <v>0</v>
      </c>
      <c r="S165" s="1">
        <v>0</v>
      </c>
      <c r="T165" s="1">
        <v>0</v>
      </c>
      <c r="U165" s="1">
        <v>607203</v>
      </c>
      <c r="V165" s="1" t="s">
        <v>192</v>
      </c>
      <c r="W165" s="1" t="s">
        <v>33</v>
      </c>
      <c r="X165" t="s">
        <v>34</v>
      </c>
      <c r="Y165" s="16">
        <v>0</v>
      </c>
      <c r="Z165" s="16">
        <v>0</v>
      </c>
      <c r="AA165" s="15">
        <f t="shared" si="6"/>
        <v>0</v>
      </c>
      <c r="AC165" s="15">
        <f t="shared" si="7"/>
        <v>0</v>
      </c>
      <c r="AD165" s="15">
        <f t="shared" si="8"/>
        <v>0</v>
      </c>
    </row>
    <row r="166" spans="1:30" x14ac:dyDescent="0.2">
      <c r="A166" s="14">
        <v>1</v>
      </c>
      <c r="B166" s="11">
        <v>607212</v>
      </c>
      <c r="C166" s="11">
        <v>607212</v>
      </c>
      <c r="D166" s="11">
        <v>6</v>
      </c>
      <c r="E166" s="12"/>
      <c r="F166" s="13" t="s">
        <v>193</v>
      </c>
      <c r="G166" s="10">
        <v>0</v>
      </c>
      <c r="H166" s="10">
        <v>0</v>
      </c>
      <c r="I166" s="10">
        <v>0</v>
      </c>
      <c r="J166" s="10">
        <v>0</v>
      </c>
      <c r="K166" s="10">
        <v>0</v>
      </c>
      <c r="L166" s="10">
        <v>0</v>
      </c>
      <c r="M166" s="10">
        <v>0</v>
      </c>
      <c r="N166" s="10">
        <v>0</v>
      </c>
      <c r="O166" s="10">
        <v>0</v>
      </c>
      <c r="P166" s="10">
        <v>0</v>
      </c>
      <c r="Q166" s="1">
        <v>0</v>
      </c>
      <c r="R166" s="1">
        <v>0</v>
      </c>
      <c r="S166" s="1">
        <v>0</v>
      </c>
      <c r="T166" s="1">
        <v>0</v>
      </c>
      <c r="U166" s="1">
        <v>607212</v>
      </c>
      <c r="V166" s="1" t="s">
        <v>193</v>
      </c>
      <c r="W166" s="1" t="s">
        <v>33</v>
      </c>
      <c r="X166" t="s">
        <v>34</v>
      </c>
      <c r="Y166" s="16">
        <v>0</v>
      </c>
      <c r="Z166" s="16">
        <v>0</v>
      </c>
      <c r="AA166" s="15">
        <f t="shared" si="6"/>
        <v>0</v>
      </c>
      <c r="AC166" s="15">
        <f t="shared" si="7"/>
        <v>0</v>
      </c>
      <c r="AD166" s="15">
        <f t="shared" si="8"/>
        <v>0</v>
      </c>
    </row>
    <row r="167" spans="1:30" x14ac:dyDescent="0.2">
      <c r="A167" s="14">
        <v>1</v>
      </c>
      <c r="B167" s="11">
        <v>607221</v>
      </c>
      <c r="C167" s="11">
        <v>607221</v>
      </c>
      <c r="D167" s="11">
        <v>6</v>
      </c>
      <c r="E167" s="12"/>
      <c r="F167" s="13" t="s">
        <v>194</v>
      </c>
      <c r="G167" s="10">
        <v>0</v>
      </c>
      <c r="H167" s="10">
        <v>0</v>
      </c>
      <c r="I167" s="10">
        <v>0</v>
      </c>
      <c r="J167" s="10">
        <v>0</v>
      </c>
      <c r="K167" s="10">
        <v>1299053.98</v>
      </c>
      <c r="L167" s="10">
        <v>1299053.98</v>
      </c>
      <c r="M167" s="10">
        <v>1299053.98</v>
      </c>
      <c r="N167" s="10">
        <v>1299053.98</v>
      </c>
      <c r="O167" s="10">
        <v>0</v>
      </c>
      <c r="P167" s="10">
        <v>0</v>
      </c>
      <c r="Q167" s="1">
        <v>0</v>
      </c>
      <c r="R167" s="1">
        <v>0</v>
      </c>
      <c r="S167" s="1">
        <v>0</v>
      </c>
      <c r="T167" s="1">
        <v>0</v>
      </c>
      <c r="U167" s="1">
        <v>607221</v>
      </c>
      <c r="V167" s="1" t="s">
        <v>194</v>
      </c>
      <c r="W167" s="1" t="s">
        <v>33</v>
      </c>
      <c r="X167" t="s">
        <v>34</v>
      </c>
      <c r="Y167" s="16">
        <v>0</v>
      </c>
      <c r="Z167" s="16">
        <v>0</v>
      </c>
      <c r="AA167" s="15">
        <f t="shared" si="6"/>
        <v>0</v>
      </c>
      <c r="AC167" s="15">
        <f t="shared" si="7"/>
        <v>0</v>
      </c>
      <c r="AD167" s="15">
        <f t="shared" si="8"/>
        <v>0</v>
      </c>
    </row>
    <row r="168" spans="1:30" x14ac:dyDescent="0.2">
      <c r="A168" s="14">
        <v>1</v>
      </c>
      <c r="B168" s="11">
        <v>609040</v>
      </c>
      <c r="C168" s="11">
        <v>609040</v>
      </c>
      <c r="D168" s="11">
        <v>6</v>
      </c>
      <c r="E168" s="12"/>
      <c r="F168" s="13" t="s">
        <v>195</v>
      </c>
      <c r="G168" s="10">
        <v>0</v>
      </c>
      <c r="H168" s="10">
        <v>0</v>
      </c>
      <c r="I168" s="10">
        <v>0</v>
      </c>
      <c r="J168" s="10">
        <v>0</v>
      </c>
      <c r="K168" s="10">
        <v>-2541.77</v>
      </c>
      <c r="L168" s="10">
        <v>-2541.77</v>
      </c>
      <c r="M168" s="10">
        <v>-2541.77</v>
      </c>
      <c r="N168" s="10">
        <v>-2541.77</v>
      </c>
      <c r="O168" s="10">
        <v>0</v>
      </c>
      <c r="P168" s="10">
        <v>0</v>
      </c>
      <c r="Q168" s="1">
        <v>0</v>
      </c>
      <c r="R168" s="1">
        <v>0</v>
      </c>
      <c r="S168" s="1">
        <v>0</v>
      </c>
      <c r="T168" s="1">
        <v>0</v>
      </c>
      <c r="U168" s="1">
        <v>609040</v>
      </c>
      <c r="V168" s="1" t="s">
        <v>195</v>
      </c>
      <c r="W168" s="1" t="s">
        <v>33</v>
      </c>
      <c r="X168" t="s">
        <v>34</v>
      </c>
      <c r="Y168" s="16">
        <v>0</v>
      </c>
      <c r="Z168" s="16">
        <v>0</v>
      </c>
      <c r="AA168" s="15">
        <f t="shared" si="6"/>
        <v>0</v>
      </c>
      <c r="AC168" s="15">
        <f t="shared" si="7"/>
        <v>0</v>
      </c>
      <c r="AD168" s="15">
        <f t="shared" si="8"/>
        <v>0</v>
      </c>
    </row>
    <row r="169" spans="1:30" x14ac:dyDescent="0.2">
      <c r="A169" s="14">
        <v>1</v>
      </c>
      <c r="B169" s="11">
        <v>609208</v>
      </c>
      <c r="C169" s="11">
        <v>609208</v>
      </c>
      <c r="D169" s="11">
        <v>6</v>
      </c>
      <c r="E169" s="12"/>
      <c r="F169" s="13" t="s">
        <v>196</v>
      </c>
      <c r="G169" s="10">
        <v>0</v>
      </c>
      <c r="H169" s="10">
        <v>0</v>
      </c>
      <c r="I169" s="10">
        <v>0</v>
      </c>
      <c r="J169" s="10">
        <v>0</v>
      </c>
      <c r="K169" s="10">
        <v>-215.47</v>
      </c>
      <c r="L169" s="10">
        <v>-215.47</v>
      </c>
      <c r="M169" s="10">
        <v>-215.47</v>
      </c>
      <c r="N169" s="10">
        <v>-215.47</v>
      </c>
      <c r="O169" s="10">
        <v>0</v>
      </c>
      <c r="P169" s="10">
        <v>0</v>
      </c>
      <c r="Q169" s="1">
        <v>0</v>
      </c>
      <c r="R169" s="1">
        <v>0</v>
      </c>
      <c r="S169" s="1">
        <v>0</v>
      </c>
      <c r="T169" s="1">
        <v>0</v>
      </c>
      <c r="U169" s="1">
        <v>609208</v>
      </c>
      <c r="V169" s="1" t="s">
        <v>196</v>
      </c>
      <c r="W169" s="1" t="s">
        <v>33</v>
      </c>
      <c r="X169" t="s">
        <v>34</v>
      </c>
      <c r="Y169" s="16">
        <v>0</v>
      </c>
      <c r="Z169" s="16">
        <v>0</v>
      </c>
      <c r="AA169" s="15">
        <f t="shared" si="6"/>
        <v>0</v>
      </c>
      <c r="AC169" s="15">
        <f t="shared" si="7"/>
        <v>0</v>
      </c>
      <c r="AD169" s="15">
        <f t="shared" si="8"/>
        <v>0</v>
      </c>
    </row>
    <row r="170" spans="1:30" x14ac:dyDescent="0.2">
      <c r="A170" s="14">
        <v>1</v>
      </c>
      <c r="B170" s="11">
        <v>611000</v>
      </c>
      <c r="C170" s="11">
        <v>611000</v>
      </c>
      <c r="D170" s="11">
        <v>6</v>
      </c>
      <c r="E170" s="12"/>
      <c r="F170" s="13" t="s">
        <v>197</v>
      </c>
      <c r="G170" s="10">
        <v>0</v>
      </c>
      <c r="H170" s="10">
        <v>0</v>
      </c>
      <c r="I170" s="10">
        <v>0</v>
      </c>
      <c r="J170" s="10">
        <v>0</v>
      </c>
      <c r="K170" s="10">
        <v>109.24</v>
      </c>
      <c r="L170" s="10">
        <v>109.24</v>
      </c>
      <c r="M170" s="10">
        <v>109.24</v>
      </c>
      <c r="N170" s="10">
        <v>109.24</v>
      </c>
      <c r="O170" s="10">
        <v>0</v>
      </c>
      <c r="P170" s="10">
        <v>0</v>
      </c>
      <c r="Q170" s="1">
        <v>0</v>
      </c>
      <c r="R170" s="1">
        <v>0</v>
      </c>
      <c r="S170" s="1">
        <v>0</v>
      </c>
      <c r="T170" s="1">
        <v>0</v>
      </c>
      <c r="U170" s="1">
        <v>611000</v>
      </c>
      <c r="V170" s="1" t="s">
        <v>197</v>
      </c>
      <c r="W170" s="1" t="s">
        <v>33</v>
      </c>
      <c r="X170" t="s">
        <v>34</v>
      </c>
      <c r="Y170" s="16">
        <v>0</v>
      </c>
      <c r="Z170" s="16">
        <v>0</v>
      </c>
      <c r="AA170" s="15">
        <f t="shared" si="6"/>
        <v>0</v>
      </c>
      <c r="AC170" s="15">
        <f t="shared" si="7"/>
        <v>0</v>
      </c>
      <c r="AD170" s="15">
        <f t="shared" si="8"/>
        <v>0</v>
      </c>
    </row>
    <row r="171" spans="1:30" x14ac:dyDescent="0.2">
      <c r="A171" s="14">
        <v>1</v>
      </c>
      <c r="B171" s="11">
        <v>611101</v>
      </c>
      <c r="C171" s="11">
        <v>611101</v>
      </c>
      <c r="D171" s="11">
        <v>6</v>
      </c>
      <c r="E171" s="12"/>
      <c r="F171" s="13" t="s">
        <v>198</v>
      </c>
      <c r="G171" s="10">
        <v>0</v>
      </c>
      <c r="H171" s="10">
        <v>0</v>
      </c>
      <c r="I171" s="10">
        <v>0</v>
      </c>
      <c r="J171" s="10">
        <v>0</v>
      </c>
      <c r="K171" s="10">
        <v>0</v>
      </c>
      <c r="L171" s="10">
        <v>0</v>
      </c>
      <c r="M171" s="10">
        <v>0</v>
      </c>
      <c r="N171" s="10">
        <v>0</v>
      </c>
      <c r="O171" s="10">
        <v>0</v>
      </c>
      <c r="P171" s="10">
        <v>0</v>
      </c>
      <c r="Q171" s="1">
        <v>0</v>
      </c>
      <c r="R171" s="1">
        <v>0</v>
      </c>
      <c r="S171" s="1">
        <v>0</v>
      </c>
      <c r="T171" s="1">
        <v>0</v>
      </c>
      <c r="U171" s="1">
        <v>611101</v>
      </c>
      <c r="V171" s="1" t="s">
        <v>198</v>
      </c>
      <c r="W171" s="1" t="s">
        <v>33</v>
      </c>
      <c r="X171" t="s">
        <v>34</v>
      </c>
      <c r="Y171" s="16">
        <v>0</v>
      </c>
      <c r="Z171" s="16">
        <v>0</v>
      </c>
      <c r="AA171" s="15">
        <f t="shared" si="6"/>
        <v>0</v>
      </c>
      <c r="AC171" s="15">
        <f t="shared" si="7"/>
        <v>0</v>
      </c>
      <c r="AD171" s="15">
        <f t="shared" si="8"/>
        <v>0</v>
      </c>
    </row>
    <row r="172" spans="1:30" x14ac:dyDescent="0.2">
      <c r="A172" s="14">
        <v>1</v>
      </c>
      <c r="B172" s="11">
        <v>611300</v>
      </c>
      <c r="C172" s="11">
        <v>611300</v>
      </c>
      <c r="D172" s="11">
        <v>6</v>
      </c>
      <c r="E172" s="12"/>
      <c r="F172" s="13" t="s">
        <v>199</v>
      </c>
      <c r="G172" s="10">
        <v>0</v>
      </c>
      <c r="H172" s="10">
        <v>0</v>
      </c>
      <c r="I172" s="10">
        <v>0</v>
      </c>
      <c r="J172" s="10">
        <v>0</v>
      </c>
      <c r="K172" s="10">
        <v>144367.39000000001</v>
      </c>
      <c r="L172" s="10">
        <v>144367.39000000001</v>
      </c>
      <c r="M172" s="10">
        <v>144367.39000000001</v>
      </c>
      <c r="N172" s="10">
        <v>144367.39000000001</v>
      </c>
      <c r="O172" s="10">
        <v>0</v>
      </c>
      <c r="P172" s="10">
        <v>0</v>
      </c>
      <c r="Q172" s="1">
        <v>0</v>
      </c>
      <c r="R172" s="1">
        <v>0</v>
      </c>
      <c r="S172" s="1">
        <v>0</v>
      </c>
      <c r="T172" s="1">
        <v>0</v>
      </c>
      <c r="U172" s="1">
        <v>611300</v>
      </c>
      <c r="V172" s="1" t="s">
        <v>199</v>
      </c>
      <c r="W172" s="1" t="s">
        <v>33</v>
      </c>
      <c r="X172" t="s">
        <v>34</v>
      </c>
      <c r="Y172" s="16">
        <v>0</v>
      </c>
      <c r="Z172" s="16">
        <v>0</v>
      </c>
      <c r="AA172" s="15">
        <f t="shared" si="6"/>
        <v>0</v>
      </c>
      <c r="AC172" s="15">
        <f t="shared" si="7"/>
        <v>0</v>
      </c>
      <c r="AD172" s="15">
        <f t="shared" si="8"/>
        <v>0</v>
      </c>
    </row>
    <row r="173" spans="1:30" x14ac:dyDescent="0.2">
      <c r="A173" s="14">
        <v>1</v>
      </c>
      <c r="B173" s="11">
        <v>611400</v>
      </c>
      <c r="C173" s="11">
        <v>611400</v>
      </c>
      <c r="D173" s="11">
        <v>6</v>
      </c>
      <c r="E173" s="12"/>
      <c r="F173" s="13" t="s">
        <v>200</v>
      </c>
      <c r="G173" s="10">
        <v>0</v>
      </c>
      <c r="H173" s="10">
        <v>0</v>
      </c>
      <c r="I173" s="10">
        <v>0</v>
      </c>
      <c r="J173" s="10">
        <v>0</v>
      </c>
      <c r="K173" s="10">
        <v>24458.26</v>
      </c>
      <c r="L173" s="10">
        <v>24458.26</v>
      </c>
      <c r="M173" s="10">
        <v>24458.26</v>
      </c>
      <c r="N173" s="10">
        <v>24458.26</v>
      </c>
      <c r="O173" s="10">
        <v>0</v>
      </c>
      <c r="P173" s="10">
        <v>0</v>
      </c>
      <c r="Q173" s="1">
        <v>0</v>
      </c>
      <c r="R173" s="1">
        <v>0</v>
      </c>
      <c r="S173" s="1">
        <v>0</v>
      </c>
      <c r="T173" s="1">
        <v>0</v>
      </c>
      <c r="U173" s="1">
        <v>611400</v>
      </c>
      <c r="V173" s="1" t="s">
        <v>200</v>
      </c>
      <c r="W173" s="1" t="s">
        <v>33</v>
      </c>
      <c r="X173" t="s">
        <v>34</v>
      </c>
      <c r="Y173" s="16">
        <v>0</v>
      </c>
      <c r="Z173" s="16">
        <v>0</v>
      </c>
      <c r="AA173" s="15">
        <f t="shared" si="6"/>
        <v>0</v>
      </c>
      <c r="AC173" s="15">
        <f t="shared" si="7"/>
        <v>0</v>
      </c>
      <c r="AD173" s="15">
        <f t="shared" si="8"/>
        <v>0</v>
      </c>
    </row>
    <row r="174" spans="1:30" x14ac:dyDescent="0.2">
      <c r="A174" s="14">
        <v>1</v>
      </c>
      <c r="B174" s="11">
        <v>611500</v>
      </c>
      <c r="C174" s="11">
        <v>611500</v>
      </c>
      <c r="D174" s="11">
        <v>6</v>
      </c>
      <c r="E174" s="12"/>
      <c r="F174" s="13" t="s">
        <v>201</v>
      </c>
      <c r="G174" s="10">
        <v>0</v>
      </c>
      <c r="H174" s="10">
        <v>0</v>
      </c>
      <c r="I174" s="10">
        <v>0</v>
      </c>
      <c r="J174" s="10">
        <v>0</v>
      </c>
      <c r="K174" s="10">
        <v>60778.1</v>
      </c>
      <c r="L174" s="10">
        <v>60778.1</v>
      </c>
      <c r="M174" s="10">
        <v>60778.1</v>
      </c>
      <c r="N174" s="10">
        <v>60778.1</v>
      </c>
      <c r="O174" s="10">
        <v>0</v>
      </c>
      <c r="P174" s="10">
        <v>0</v>
      </c>
      <c r="Q174" s="1">
        <v>0</v>
      </c>
      <c r="R174" s="1">
        <v>0</v>
      </c>
      <c r="S174" s="1">
        <v>0</v>
      </c>
      <c r="T174" s="1">
        <v>0</v>
      </c>
      <c r="U174" s="1">
        <v>611500</v>
      </c>
      <c r="V174" s="1" t="s">
        <v>201</v>
      </c>
      <c r="W174" s="1" t="s">
        <v>33</v>
      </c>
      <c r="X174" t="s">
        <v>34</v>
      </c>
      <c r="Y174" s="16">
        <v>0</v>
      </c>
      <c r="Z174" s="16">
        <v>0</v>
      </c>
      <c r="AA174" s="15">
        <f t="shared" si="6"/>
        <v>0</v>
      </c>
      <c r="AC174" s="15">
        <f t="shared" si="7"/>
        <v>0</v>
      </c>
      <c r="AD174" s="15">
        <f t="shared" si="8"/>
        <v>0</v>
      </c>
    </row>
    <row r="175" spans="1:30" x14ac:dyDescent="0.2">
      <c r="A175" s="14">
        <v>1</v>
      </c>
      <c r="B175" s="11">
        <v>612300</v>
      </c>
      <c r="C175" s="11">
        <v>612300</v>
      </c>
      <c r="D175" s="11">
        <v>6</v>
      </c>
      <c r="E175" s="12"/>
      <c r="F175" s="13" t="s">
        <v>202</v>
      </c>
      <c r="G175" s="10">
        <v>0</v>
      </c>
      <c r="H175" s="10">
        <v>0</v>
      </c>
      <c r="I175" s="10">
        <v>0</v>
      </c>
      <c r="J175" s="10">
        <v>0</v>
      </c>
      <c r="K175" s="10">
        <v>500</v>
      </c>
      <c r="L175" s="10">
        <v>500</v>
      </c>
      <c r="M175" s="10">
        <v>500</v>
      </c>
      <c r="N175" s="10">
        <v>500</v>
      </c>
      <c r="O175" s="10">
        <v>0</v>
      </c>
      <c r="P175" s="10">
        <v>0</v>
      </c>
      <c r="Q175" s="1">
        <v>0</v>
      </c>
      <c r="R175" s="1">
        <v>0</v>
      </c>
      <c r="S175" s="1">
        <v>0</v>
      </c>
      <c r="T175" s="1">
        <v>0</v>
      </c>
      <c r="U175" s="1">
        <v>612300</v>
      </c>
      <c r="V175" s="1" t="s">
        <v>202</v>
      </c>
      <c r="W175" s="1" t="s">
        <v>33</v>
      </c>
      <c r="X175" t="s">
        <v>34</v>
      </c>
      <c r="Y175" s="16">
        <v>0</v>
      </c>
      <c r="Z175" s="16">
        <v>0</v>
      </c>
      <c r="AA175" s="15">
        <f t="shared" si="6"/>
        <v>0</v>
      </c>
      <c r="AC175" s="15">
        <f t="shared" si="7"/>
        <v>0</v>
      </c>
      <c r="AD175" s="15">
        <f t="shared" si="8"/>
        <v>0</v>
      </c>
    </row>
    <row r="176" spans="1:30" x14ac:dyDescent="0.2">
      <c r="A176" s="14">
        <v>1</v>
      </c>
      <c r="B176" s="11">
        <v>612303</v>
      </c>
      <c r="C176" s="11">
        <v>612303</v>
      </c>
      <c r="D176" s="11">
        <v>6</v>
      </c>
      <c r="E176" s="12"/>
      <c r="F176" s="13" t="s">
        <v>203</v>
      </c>
      <c r="G176" s="10">
        <v>0</v>
      </c>
      <c r="H176" s="10">
        <v>0</v>
      </c>
      <c r="I176" s="10">
        <v>0</v>
      </c>
      <c r="J176" s="10">
        <v>0</v>
      </c>
      <c r="K176" s="10">
        <v>5296.72</v>
      </c>
      <c r="L176" s="10">
        <v>5296.72</v>
      </c>
      <c r="M176" s="10">
        <v>5296.72</v>
      </c>
      <c r="N176" s="10">
        <v>5296.72</v>
      </c>
      <c r="O176" s="10">
        <v>0</v>
      </c>
      <c r="P176" s="10">
        <v>0</v>
      </c>
      <c r="Q176" s="1">
        <v>0</v>
      </c>
      <c r="R176" s="1">
        <v>0</v>
      </c>
      <c r="S176" s="1">
        <v>0</v>
      </c>
      <c r="T176" s="1">
        <v>0</v>
      </c>
      <c r="U176" s="1">
        <v>612303</v>
      </c>
      <c r="V176" s="1" t="s">
        <v>203</v>
      </c>
      <c r="W176" s="1" t="s">
        <v>33</v>
      </c>
      <c r="X176" t="s">
        <v>34</v>
      </c>
      <c r="Y176" s="16">
        <v>0</v>
      </c>
      <c r="Z176" s="16">
        <v>0</v>
      </c>
      <c r="AA176" s="15">
        <f t="shared" si="6"/>
        <v>0</v>
      </c>
      <c r="AC176" s="15">
        <f t="shared" si="7"/>
        <v>0</v>
      </c>
      <c r="AD176" s="15">
        <f t="shared" si="8"/>
        <v>0</v>
      </c>
    </row>
    <row r="177" spans="1:30" x14ac:dyDescent="0.2">
      <c r="A177" s="14">
        <v>1</v>
      </c>
      <c r="B177" s="11">
        <v>612305</v>
      </c>
      <c r="C177" s="11">
        <v>612305</v>
      </c>
      <c r="D177" s="11">
        <v>6</v>
      </c>
      <c r="E177" s="12"/>
      <c r="F177" s="13" t="s">
        <v>204</v>
      </c>
      <c r="G177" s="10">
        <v>0</v>
      </c>
      <c r="H177" s="10">
        <v>0</v>
      </c>
      <c r="I177" s="10">
        <v>0</v>
      </c>
      <c r="J177" s="10">
        <v>0</v>
      </c>
      <c r="K177" s="10">
        <v>261827.89</v>
      </c>
      <c r="L177" s="10">
        <v>261827.89</v>
      </c>
      <c r="M177" s="10">
        <v>261827.89</v>
      </c>
      <c r="N177" s="10">
        <v>261827.89</v>
      </c>
      <c r="O177" s="10">
        <v>0</v>
      </c>
      <c r="P177" s="10">
        <v>0</v>
      </c>
      <c r="Q177" s="1">
        <v>0</v>
      </c>
      <c r="R177" s="1">
        <v>0</v>
      </c>
      <c r="S177" s="1">
        <v>0</v>
      </c>
      <c r="T177" s="1">
        <v>0</v>
      </c>
      <c r="U177" s="1">
        <v>612305</v>
      </c>
      <c r="V177" s="1" t="s">
        <v>204</v>
      </c>
      <c r="W177" s="1" t="s">
        <v>33</v>
      </c>
      <c r="X177" t="s">
        <v>34</v>
      </c>
      <c r="Y177" s="16">
        <v>0</v>
      </c>
      <c r="Z177" s="16">
        <v>0</v>
      </c>
      <c r="AA177" s="15">
        <f t="shared" si="6"/>
        <v>0</v>
      </c>
      <c r="AC177" s="15">
        <f t="shared" si="7"/>
        <v>0</v>
      </c>
      <c r="AD177" s="15">
        <f t="shared" si="8"/>
        <v>0</v>
      </c>
    </row>
    <row r="178" spans="1:30" x14ac:dyDescent="0.2">
      <c r="A178" s="14">
        <v>1</v>
      </c>
      <c r="B178" s="11">
        <v>612312</v>
      </c>
      <c r="C178" s="11">
        <v>612312</v>
      </c>
      <c r="D178" s="11">
        <v>6</v>
      </c>
      <c r="E178" s="12"/>
      <c r="F178" s="13" t="s">
        <v>205</v>
      </c>
      <c r="G178" s="10">
        <v>0</v>
      </c>
      <c r="H178" s="10">
        <v>0</v>
      </c>
      <c r="I178" s="10">
        <v>0</v>
      </c>
      <c r="J178" s="10">
        <v>0</v>
      </c>
      <c r="K178" s="10">
        <v>40226.720000000001</v>
      </c>
      <c r="L178" s="10">
        <v>40226.720000000001</v>
      </c>
      <c r="M178" s="10">
        <v>40226.720000000001</v>
      </c>
      <c r="N178" s="10">
        <v>40226.720000000001</v>
      </c>
      <c r="O178" s="10">
        <v>0</v>
      </c>
      <c r="P178" s="10">
        <v>0</v>
      </c>
      <c r="Q178" s="1">
        <v>0</v>
      </c>
      <c r="R178" s="1">
        <v>0</v>
      </c>
      <c r="S178" s="1">
        <v>0</v>
      </c>
      <c r="T178" s="1">
        <v>0</v>
      </c>
      <c r="U178" s="1">
        <v>612312</v>
      </c>
      <c r="V178" s="1" t="s">
        <v>205</v>
      </c>
      <c r="W178" s="1" t="s">
        <v>33</v>
      </c>
      <c r="X178" t="s">
        <v>34</v>
      </c>
      <c r="Y178" s="16">
        <v>0</v>
      </c>
      <c r="Z178" s="16">
        <v>0</v>
      </c>
      <c r="AA178" s="15">
        <f t="shared" si="6"/>
        <v>0</v>
      </c>
      <c r="AC178" s="15">
        <f t="shared" si="7"/>
        <v>0</v>
      </c>
      <c r="AD178" s="15">
        <f t="shared" si="8"/>
        <v>0</v>
      </c>
    </row>
    <row r="179" spans="1:30" x14ac:dyDescent="0.2">
      <c r="A179" s="14">
        <v>1</v>
      </c>
      <c r="B179" s="11">
        <v>612313</v>
      </c>
      <c r="C179" s="11">
        <v>612313</v>
      </c>
      <c r="D179" s="11">
        <v>6</v>
      </c>
      <c r="E179" s="12"/>
      <c r="F179" s="13" t="s">
        <v>206</v>
      </c>
      <c r="G179" s="10">
        <v>0</v>
      </c>
      <c r="H179" s="10">
        <v>0</v>
      </c>
      <c r="I179" s="10">
        <v>0</v>
      </c>
      <c r="J179" s="10">
        <v>0</v>
      </c>
      <c r="K179" s="10">
        <v>448517.54</v>
      </c>
      <c r="L179" s="10">
        <v>448517.54</v>
      </c>
      <c r="M179" s="10">
        <v>448517.54</v>
      </c>
      <c r="N179" s="10">
        <v>448517.54</v>
      </c>
      <c r="O179" s="10">
        <v>0</v>
      </c>
      <c r="P179" s="10">
        <v>0</v>
      </c>
      <c r="Q179" s="1">
        <v>0</v>
      </c>
      <c r="R179" s="1">
        <v>0</v>
      </c>
      <c r="S179" s="1">
        <v>0</v>
      </c>
      <c r="T179" s="1">
        <v>0</v>
      </c>
      <c r="U179" s="1">
        <v>612313</v>
      </c>
      <c r="V179" s="1" t="s">
        <v>206</v>
      </c>
      <c r="W179" s="1" t="s">
        <v>33</v>
      </c>
      <c r="X179" t="s">
        <v>34</v>
      </c>
      <c r="Y179" s="16">
        <v>0</v>
      </c>
      <c r="Z179" s="16">
        <v>0</v>
      </c>
      <c r="AA179" s="15">
        <f t="shared" si="6"/>
        <v>0</v>
      </c>
      <c r="AC179" s="15">
        <f t="shared" si="7"/>
        <v>0</v>
      </c>
      <c r="AD179" s="15">
        <f t="shared" si="8"/>
        <v>0</v>
      </c>
    </row>
    <row r="180" spans="1:30" x14ac:dyDescent="0.2">
      <c r="A180" s="14">
        <v>1</v>
      </c>
      <c r="B180" s="11">
        <v>612900</v>
      </c>
      <c r="C180" s="11">
        <v>612900</v>
      </c>
      <c r="D180" s="11">
        <v>6</v>
      </c>
      <c r="E180" s="12"/>
      <c r="F180" s="13" t="s">
        <v>207</v>
      </c>
      <c r="G180" s="10">
        <v>0</v>
      </c>
      <c r="H180" s="10">
        <v>0</v>
      </c>
      <c r="I180" s="10">
        <v>0</v>
      </c>
      <c r="J180" s="10">
        <v>0</v>
      </c>
      <c r="K180" s="10">
        <v>7648.96</v>
      </c>
      <c r="L180" s="10">
        <v>7648.96</v>
      </c>
      <c r="M180" s="10">
        <v>7648.96</v>
      </c>
      <c r="N180" s="10">
        <v>7648.96</v>
      </c>
      <c r="O180" s="10">
        <v>0</v>
      </c>
      <c r="P180" s="10">
        <v>0</v>
      </c>
      <c r="Q180" s="1">
        <v>0</v>
      </c>
      <c r="R180" s="1">
        <v>0</v>
      </c>
      <c r="S180" s="1">
        <v>0</v>
      </c>
      <c r="T180" s="1">
        <v>0</v>
      </c>
      <c r="U180" s="1">
        <v>612900</v>
      </c>
      <c r="V180" s="1" t="s">
        <v>207</v>
      </c>
      <c r="W180" s="1" t="s">
        <v>33</v>
      </c>
      <c r="X180" t="s">
        <v>34</v>
      </c>
      <c r="Y180" s="16">
        <v>0</v>
      </c>
      <c r="Z180" s="16">
        <v>0</v>
      </c>
      <c r="AA180" s="15">
        <f t="shared" si="6"/>
        <v>0</v>
      </c>
      <c r="AC180" s="15">
        <f t="shared" si="7"/>
        <v>0</v>
      </c>
      <c r="AD180" s="15">
        <f t="shared" si="8"/>
        <v>0</v>
      </c>
    </row>
    <row r="181" spans="1:30" x14ac:dyDescent="0.2">
      <c r="A181" s="14">
        <v>1</v>
      </c>
      <c r="B181" s="11">
        <v>613000</v>
      </c>
      <c r="C181" s="11">
        <v>613000</v>
      </c>
      <c r="D181" s="11">
        <v>6</v>
      </c>
      <c r="E181" s="12"/>
      <c r="F181" s="13" t="s">
        <v>208</v>
      </c>
      <c r="G181" s="10">
        <v>0</v>
      </c>
      <c r="H181" s="10">
        <v>0</v>
      </c>
      <c r="I181" s="10">
        <v>0</v>
      </c>
      <c r="J181" s="10">
        <v>0</v>
      </c>
      <c r="K181" s="10">
        <v>3690.1</v>
      </c>
      <c r="L181" s="10">
        <v>3690.1</v>
      </c>
      <c r="M181" s="10">
        <v>3690.1</v>
      </c>
      <c r="N181" s="10">
        <v>3690.1</v>
      </c>
      <c r="O181" s="10">
        <v>0</v>
      </c>
      <c r="P181" s="10">
        <v>0</v>
      </c>
      <c r="Q181" s="1">
        <v>0</v>
      </c>
      <c r="R181" s="1">
        <v>0</v>
      </c>
      <c r="S181" s="1">
        <v>0</v>
      </c>
      <c r="T181" s="1">
        <v>0</v>
      </c>
      <c r="U181" s="1">
        <v>613000</v>
      </c>
      <c r="V181" s="1" t="s">
        <v>208</v>
      </c>
      <c r="W181" s="1" t="s">
        <v>33</v>
      </c>
      <c r="X181" t="s">
        <v>34</v>
      </c>
      <c r="Y181" s="16">
        <v>0</v>
      </c>
      <c r="Z181" s="16">
        <v>0</v>
      </c>
      <c r="AA181" s="15">
        <f t="shared" si="6"/>
        <v>0</v>
      </c>
      <c r="AC181" s="15">
        <f t="shared" si="7"/>
        <v>0</v>
      </c>
      <c r="AD181" s="15">
        <f t="shared" si="8"/>
        <v>0</v>
      </c>
    </row>
    <row r="182" spans="1:30" x14ac:dyDescent="0.2">
      <c r="A182" s="14">
        <v>1</v>
      </c>
      <c r="B182" s="11">
        <v>613100</v>
      </c>
      <c r="C182" s="11">
        <v>613100</v>
      </c>
      <c r="D182" s="11">
        <v>6</v>
      </c>
      <c r="E182" s="12"/>
      <c r="F182" s="13" t="s">
        <v>209</v>
      </c>
      <c r="G182" s="10">
        <v>0</v>
      </c>
      <c r="H182" s="10">
        <v>0</v>
      </c>
      <c r="I182" s="10">
        <v>0</v>
      </c>
      <c r="J182" s="10">
        <v>0</v>
      </c>
      <c r="K182" s="10">
        <v>255148.66</v>
      </c>
      <c r="L182" s="10">
        <v>255148.66</v>
      </c>
      <c r="M182" s="10">
        <v>255148.66</v>
      </c>
      <c r="N182" s="10">
        <v>255148.66</v>
      </c>
      <c r="O182" s="10">
        <v>0</v>
      </c>
      <c r="P182" s="10">
        <v>0</v>
      </c>
      <c r="Q182" s="1">
        <v>0</v>
      </c>
      <c r="R182" s="1">
        <v>0</v>
      </c>
      <c r="S182" s="1">
        <v>0</v>
      </c>
      <c r="T182" s="1">
        <v>0</v>
      </c>
      <c r="U182" s="1">
        <v>613100</v>
      </c>
      <c r="V182" s="1" t="s">
        <v>209</v>
      </c>
      <c r="W182" s="1" t="s">
        <v>33</v>
      </c>
      <c r="X182" t="s">
        <v>34</v>
      </c>
      <c r="Y182" s="16">
        <v>0</v>
      </c>
      <c r="Z182" s="16">
        <v>0</v>
      </c>
      <c r="AA182" s="15">
        <f t="shared" si="6"/>
        <v>0</v>
      </c>
      <c r="AC182" s="15">
        <f t="shared" si="7"/>
        <v>0</v>
      </c>
      <c r="AD182" s="15">
        <f t="shared" si="8"/>
        <v>0</v>
      </c>
    </row>
    <row r="183" spans="1:30" x14ac:dyDescent="0.2">
      <c r="A183" s="14">
        <v>1</v>
      </c>
      <c r="B183" s="11">
        <v>613101</v>
      </c>
      <c r="C183" s="11">
        <v>613101</v>
      </c>
      <c r="D183" s="11">
        <v>6</v>
      </c>
      <c r="E183" s="12"/>
      <c r="F183" s="13" t="s">
        <v>210</v>
      </c>
      <c r="G183" s="10">
        <v>0</v>
      </c>
      <c r="H183" s="10">
        <v>0</v>
      </c>
      <c r="I183" s="10">
        <v>0</v>
      </c>
      <c r="J183" s="10">
        <v>0</v>
      </c>
      <c r="K183" s="10">
        <v>37738</v>
      </c>
      <c r="L183" s="10">
        <v>37738</v>
      </c>
      <c r="M183" s="10">
        <v>37738</v>
      </c>
      <c r="N183" s="10">
        <v>37738</v>
      </c>
      <c r="O183" s="10">
        <v>0</v>
      </c>
      <c r="P183" s="10">
        <v>0</v>
      </c>
      <c r="Q183" s="1">
        <v>0</v>
      </c>
      <c r="R183" s="1">
        <v>0</v>
      </c>
      <c r="S183" s="1">
        <v>0</v>
      </c>
      <c r="T183" s="1">
        <v>0</v>
      </c>
      <c r="U183" s="1">
        <v>613101</v>
      </c>
      <c r="V183" s="1" t="s">
        <v>210</v>
      </c>
      <c r="W183" s="1" t="s">
        <v>33</v>
      </c>
      <c r="X183" t="s">
        <v>34</v>
      </c>
      <c r="Y183" s="16">
        <v>0</v>
      </c>
      <c r="Z183" s="16">
        <v>0</v>
      </c>
      <c r="AA183" s="15">
        <f t="shared" si="6"/>
        <v>0</v>
      </c>
      <c r="AC183" s="15">
        <f t="shared" si="7"/>
        <v>0</v>
      </c>
      <c r="AD183" s="15">
        <f t="shared" si="8"/>
        <v>0</v>
      </c>
    </row>
    <row r="184" spans="1:30" x14ac:dyDescent="0.2">
      <c r="A184" s="14">
        <v>1</v>
      </c>
      <c r="B184" s="11">
        <v>615000</v>
      </c>
      <c r="C184" s="11">
        <v>615000</v>
      </c>
      <c r="D184" s="11">
        <v>6</v>
      </c>
      <c r="E184" s="12"/>
      <c r="F184" s="13" t="s">
        <v>211</v>
      </c>
      <c r="G184" s="10">
        <v>0</v>
      </c>
      <c r="H184" s="10">
        <v>0</v>
      </c>
      <c r="I184" s="10">
        <v>0</v>
      </c>
      <c r="J184" s="10">
        <v>0</v>
      </c>
      <c r="K184" s="10">
        <v>20988.639999999999</v>
      </c>
      <c r="L184" s="10">
        <v>20988.639999999999</v>
      </c>
      <c r="M184" s="10">
        <v>20988.639999999999</v>
      </c>
      <c r="N184" s="10">
        <v>20988.639999999999</v>
      </c>
      <c r="O184" s="10">
        <v>0</v>
      </c>
      <c r="P184" s="10">
        <v>0</v>
      </c>
      <c r="Q184" s="1">
        <v>0</v>
      </c>
      <c r="R184" s="1">
        <v>0</v>
      </c>
      <c r="S184" s="1">
        <v>0</v>
      </c>
      <c r="T184" s="1">
        <v>0</v>
      </c>
      <c r="U184" s="1">
        <v>615000</v>
      </c>
      <c r="V184" s="1" t="s">
        <v>211</v>
      </c>
      <c r="W184" s="1" t="s">
        <v>33</v>
      </c>
      <c r="X184" t="s">
        <v>34</v>
      </c>
      <c r="Y184" s="16">
        <v>0</v>
      </c>
      <c r="Z184" s="16">
        <v>0</v>
      </c>
      <c r="AA184" s="15">
        <f t="shared" si="6"/>
        <v>0</v>
      </c>
      <c r="AC184" s="15">
        <f t="shared" si="7"/>
        <v>0</v>
      </c>
      <c r="AD184" s="15">
        <f t="shared" si="8"/>
        <v>0</v>
      </c>
    </row>
    <row r="185" spans="1:30" x14ac:dyDescent="0.2">
      <c r="A185" s="14">
        <v>1</v>
      </c>
      <c r="B185" s="11">
        <v>617000</v>
      </c>
      <c r="C185" s="11">
        <v>617000</v>
      </c>
      <c r="D185" s="11">
        <v>6</v>
      </c>
      <c r="E185" s="12"/>
      <c r="F185" s="13" t="s">
        <v>212</v>
      </c>
      <c r="G185" s="10">
        <v>0</v>
      </c>
      <c r="H185" s="10">
        <v>0</v>
      </c>
      <c r="I185" s="10">
        <v>0</v>
      </c>
      <c r="J185" s="10">
        <v>0</v>
      </c>
      <c r="K185" s="10">
        <v>354103.01</v>
      </c>
      <c r="L185" s="10">
        <v>354103.01</v>
      </c>
      <c r="M185" s="10">
        <v>354103.01</v>
      </c>
      <c r="N185" s="10">
        <v>354103.01</v>
      </c>
      <c r="O185" s="10">
        <v>0</v>
      </c>
      <c r="P185" s="10">
        <v>0</v>
      </c>
      <c r="Q185" s="1">
        <v>0</v>
      </c>
      <c r="R185" s="1">
        <v>0</v>
      </c>
      <c r="S185" s="1">
        <v>0</v>
      </c>
      <c r="T185" s="1">
        <v>0</v>
      </c>
      <c r="U185" s="1">
        <v>617000</v>
      </c>
      <c r="V185" s="1" t="s">
        <v>212</v>
      </c>
      <c r="W185" s="1" t="s">
        <v>33</v>
      </c>
      <c r="X185" t="s">
        <v>34</v>
      </c>
      <c r="Y185" s="16">
        <v>0</v>
      </c>
      <c r="Z185" s="16">
        <v>0</v>
      </c>
      <c r="AA185" s="15">
        <f t="shared" si="6"/>
        <v>0</v>
      </c>
      <c r="AC185" s="15">
        <f t="shared" si="7"/>
        <v>0</v>
      </c>
      <c r="AD185" s="15">
        <f t="shared" si="8"/>
        <v>0</v>
      </c>
    </row>
    <row r="186" spans="1:30" x14ac:dyDescent="0.2">
      <c r="A186" s="14">
        <v>1</v>
      </c>
      <c r="B186" s="11">
        <v>618000</v>
      </c>
      <c r="C186" s="11">
        <v>618000</v>
      </c>
      <c r="D186" s="11">
        <v>6</v>
      </c>
      <c r="E186" s="12"/>
      <c r="F186" s="13" t="s">
        <v>213</v>
      </c>
      <c r="G186" s="10">
        <v>0</v>
      </c>
      <c r="H186" s="10">
        <v>0</v>
      </c>
      <c r="I186" s="10">
        <v>0</v>
      </c>
      <c r="J186" s="10">
        <v>0</v>
      </c>
      <c r="K186" s="10">
        <v>401820.56</v>
      </c>
      <c r="L186" s="10">
        <v>401820.56</v>
      </c>
      <c r="M186" s="10">
        <v>401820.56</v>
      </c>
      <c r="N186" s="10">
        <v>401820.56</v>
      </c>
      <c r="O186" s="10">
        <v>0</v>
      </c>
      <c r="P186" s="10">
        <v>0</v>
      </c>
      <c r="Q186" s="1">
        <v>0</v>
      </c>
      <c r="R186" s="1">
        <v>0</v>
      </c>
      <c r="S186" s="1">
        <v>0</v>
      </c>
      <c r="T186" s="1">
        <v>0</v>
      </c>
      <c r="U186" s="1">
        <v>618000</v>
      </c>
      <c r="V186" s="1" t="s">
        <v>213</v>
      </c>
      <c r="W186" s="1" t="s">
        <v>33</v>
      </c>
      <c r="X186" t="s">
        <v>34</v>
      </c>
      <c r="Y186" s="16">
        <v>0</v>
      </c>
      <c r="Z186" s="16">
        <v>0</v>
      </c>
      <c r="AA186" s="15">
        <f t="shared" si="6"/>
        <v>0</v>
      </c>
      <c r="AC186" s="15">
        <f t="shared" si="7"/>
        <v>0</v>
      </c>
      <c r="AD186" s="15">
        <f t="shared" si="8"/>
        <v>0</v>
      </c>
    </row>
    <row r="187" spans="1:30" x14ac:dyDescent="0.2">
      <c r="A187" s="14">
        <v>1</v>
      </c>
      <c r="B187" s="11">
        <v>622000</v>
      </c>
      <c r="C187" s="11">
        <v>622000</v>
      </c>
      <c r="D187" s="11">
        <v>6</v>
      </c>
      <c r="E187" s="12"/>
      <c r="F187" s="13" t="s">
        <v>214</v>
      </c>
      <c r="G187" s="10">
        <v>0</v>
      </c>
      <c r="H187" s="10">
        <v>0</v>
      </c>
      <c r="I187" s="10">
        <v>0</v>
      </c>
      <c r="J187" s="10">
        <v>0</v>
      </c>
      <c r="K187" s="10">
        <v>11132.32</v>
      </c>
      <c r="L187" s="10">
        <v>11132.32</v>
      </c>
      <c r="M187" s="10">
        <v>11132.32</v>
      </c>
      <c r="N187" s="10">
        <v>11132.32</v>
      </c>
      <c r="O187" s="10">
        <v>0</v>
      </c>
      <c r="P187" s="10">
        <v>0</v>
      </c>
      <c r="Q187" s="1">
        <v>0</v>
      </c>
      <c r="R187" s="1">
        <v>0</v>
      </c>
      <c r="S187" s="1">
        <v>0</v>
      </c>
      <c r="T187" s="1">
        <v>0</v>
      </c>
      <c r="U187" s="1">
        <v>622000</v>
      </c>
      <c r="V187" s="1" t="s">
        <v>214</v>
      </c>
      <c r="W187" s="1" t="s">
        <v>33</v>
      </c>
      <c r="X187" t="s">
        <v>34</v>
      </c>
      <c r="Y187" s="16">
        <v>0</v>
      </c>
      <c r="Z187" s="16">
        <v>0</v>
      </c>
      <c r="AA187" s="15">
        <f t="shared" si="6"/>
        <v>0</v>
      </c>
      <c r="AC187" s="15">
        <f t="shared" si="7"/>
        <v>0</v>
      </c>
      <c r="AD187" s="15">
        <f t="shared" si="8"/>
        <v>0</v>
      </c>
    </row>
    <row r="188" spans="1:30" x14ac:dyDescent="0.2">
      <c r="A188" s="14">
        <v>1</v>
      </c>
      <c r="B188" s="11">
        <v>622300</v>
      </c>
      <c r="C188" s="11">
        <v>622300</v>
      </c>
      <c r="D188" s="11">
        <v>6</v>
      </c>
      <c r="E188" s="12"/>
      <c r="F188" s="13" t="s">
        <v>215</v>
      </c>
      <c r="G188" s="10">
        <v>0</v>
      </c>
      <c r="H188" s="10">
        <v>0</v>
      </c>
      <c r="I188" s="10">
        <v>0</v>
      </c>
      <c r="J188" s="10">
        <v>0</v>
      </c>
      <c r="K188" s="10">
        <v>1989</v>
      </c>
      <c r="L188" s="10">
        <v>1989</v>
      </c>
      <c r="M188" s="10">
        <v>1989</v>
      </c>
      <c r="N188" s="10">
        <v>1989</v>
      </c>
      <c r="O188" s="10">
        <v>0</v>
      </c>
      <c r="P188" s="10">
        <v>0</v>
      </c>
      <c r="Q188" s="1">
        <v>0</v>
      </c>
      <c r="R188" s="1">
        <v>0</v>
      </c>
      <c r="S188" s="1">
        <v>0</v>
      </c>
      <c r="T188" s="1">
        <v>0</v>
      </c>
      <c r="U188" s="1">
        <v>622300</v>
      </c>
      <c r="V188" s="1" t="s">
        <v>215</v>
      </c>
      <c r="W188" s="1" t="s">
        <v>33</v>
      </c>
      <c r="X188" t="s">
        <v>34</v>
      </c>
      <c r="Y188" s="16">
        <v>0</v>
      </c>
      <c r="Z188" s="16">
        <v>0</v>
      </c>
      <c r="AA188" s="15">
        <f t="shared" si="6"/>
        <v>0</v>
      </c>
      <c r="AC188" s="15">
        <f t="shared" si="7"/>
        <v>0</v>
      </c>
      <c r="AD188" s="15">
        <f t="shared" si="8"/>
        <v>0</v>
      </c>
    </row>
    <row r="189" spans="1:30" x14ac:dyDescent="0.2">
      <c r="A189" s="14">
        <v>1</v>
      </c>
      <c r="B189" s="11">
        <v>622401</v>
      </c>
      <c r="C189" s="11">
        <v>622401</v>
      </c>
      <c r="D189" s="11">
        <v>6</v>
      </c>
      <c r="E189" s="12"/>
      <c r="F189" s="13" t="s">
        <v>216</v>
      </c>
      <c r="G189" s="10">
        <v>0</v>
      </c>
      <c r="H189" s="10">
        <v>0</v>
      </c>
      <c r="I189" s="10">
        <v>0</v>
      </c>
      <c r="J189" s="10">
        <v>0</v>
      </c>
      <c r="K189" s="10">
        <v>4251</v>
      </c>
      <c r="L189" s="10">
        <v>4251</v>
      </c>
      <c r="M189" s="10">
        <v>4251</v>
      </c>
      <c r="N189" s="10">
        <v>4251</v>
      </c>
      <c r="O189" s="10">
        <v>0</v>
      </c>
      <c r="P189" s="10">
        <v>0</v>
      </c>
      <c r="Q189" s="1">
        <v>0</v>
      </c>
      <c r="R189" s="1">
        <v>0</v>
      </c>
      <c r="S189" s="1">
        <v>0</v>
      </c>
      <c r="T189" s="1">
        <v>0</v>
      </c>
      <c r="U189" s="1">
        <v>622401</v>
      </c>
      <c r="V189" s="1" t="s">
        <v>216</v>
      </c>
      <c r="W189" s="1" t="s">
        <v>33</v>
      </c>
      <c r="X189" t="s">
        <v>34</v>
      </c>
      <c r="Y189" s="16">
        <v>0</v>
      </c>
      <c r="Z189" s="16">
        <v>0</v>
      </c>
      <c r="AA189" s="15">
        <f t="shared" si="6"/>
        <v>0</v>
      </c>
      <c r="AC189" s="15">
        <f t="shared" si="7"/>
        <v>0</v>
      </c>
      <c r="AD189" s="15">
        <f t="shared" si="8"/>
        <v>0</v>
      </c>
    </row>
    <row r="190" spans="1:30" x14ac:dyDescent="0.2">
      <c r="A190" s="14">
        <v>1</v>
      </c>
      <c r="B190" s="11">
        <v>623100</v>
      </c>
      <c r="C190" s="11">
        <v>623100</v>
      </c>
      <c r="D190" s="11">
        <v>6</v>
      </c>
      <c r="E190" s="12"/>
      <c r="F190" s="13" t="s">
        <v>217</v>
      </c>
      <c r="G190" s="10">
        <v>0</v>
      </c>
      <c r="H190" s="10">
        <v>0</v>
      </c>
      <c r="I190" s="10">
        <v>0</v>
      </c>
      <c r="J190" s="10">
        <v>0</v>
      </c>
      <c r="K190" s="10">
        <v>5877.49</v>
      </c>
      <c r="L190" s="10">
        <v>5877.49</v>
      </c>
      <c r="M190" s="10">
        <v>5877.49</v>
      </c>
      <c r="N190" s="10">
        <v>5877.49</v>
      </c>
      <c r="O190" s="10">
        <v>0</v>
      </c>
      <c r="P190" s="10">
        <v>0</v>
      </c>
      <c r="Q190" s="1">
        <v>0</v>
      </c>
      <c r="R190" s="1">
        <v>0</v>
      </c>
      <c r="S190" s="1">
        <v>0</v>
      </c>
      <c r="T190" s="1">
        <v>0</v>
      </c>
      <c r="U190" s="1">
        <v>623100</v>
      </c>
      <c r="V190" s="1" t="s">
        <v>217</v>
      </c>
      <c r="W190" s="1" t="s">
        <v>33</v>
      </c>
      <c r="X190" t="s">
        <v>34</v>
      </c>
      <c r="Y190" s="16">
        <v>0</v>
      </c>
      <c r="Z190" s="16">
        <v>0</v>
      </c>
      <c r="AA190" s="15">
        <f t="shared" si="6"/>
        <v>0</v>
      </c>
      <c r="AC190" s="15">
        <f t="shared" si="7"/>
        <v>0</v>
      </c>
      <c r="AD190" s="15">
        <f t="shared" si="8"/>
        <v>0</v>
      </c>
    </row>
    <row r="191" spans="1:30" x14ac:dyDescent="0.2">
      <c r="A191" s="14">
        <v>1</v>
      </c>
      <c r="B191" s="11">
        <v>623201</v>
      </c>
      <c r="C191" s="11">
        <v>623201</v>
      </c>
      <c r="D191" s="11">
        <v>6</v>
      </c>
      <c r="E191" s="12"/>
      <c r="F191" s="13" t="s">
        <v>218</v>
      </c>
      <c r="G191" s="10">
        <v>0</v>
      </c>
      <c r="H191" s="10">
        <v>0</v>
      </c>
      <c r="I191" s="10">
        <v>0</v>
      </c>
      <c r="J191" s="10">
        <v>0</v>
      </c>
      <c r="K191" s="10">
        <v>352485.81</v>
      </c>
      <c r="L191" s="10">
        <v>352485.81</v>
      </c>
      <c r="M191" s="10">
        <v>352485.81</v>
      </c>
      <c r="N191" s="10">
        <v>352485.81</v>
      </c>
      <c r="O191" s="10">
        <v>0</v>
      </c>
      <c r="P191" s="10">
        <v>0</v>
      </c>
      <c r="Q191" s="1">
        <v>0</v>
      </c>
      <c r="R191" s="1">
        <v>0</v>
      </c>
      <c r="S191" s="1">
        <v>0</v>
      </c>
      <c r="T191" s="1">
        <v>0</v>
      </c>
      <c r="U191" s="1">
        <v>623201</v>
      </c>
      <c r="V191" s="1" t="s">
        <v>218</v>
      </c>
      <c r="W191" s="1" t="s">
        <v>33</v>
      </c>
      <c r="X191" t="s">
        <v>34</v>
      </c>
      <c r="Y191" s="16">
        <v>0</v>
      </c>
      <c r="Z191" s="16">
        <v>0</v>
      </c>
      <c r="AA191" s="15">
        <f t="shared" si="6"/>
        <v>0</v>
      </c>
      <c r="AC191" s="15">
        <f t="shared" si="7"/>
        <v>0</v>
      </c>
      <c r="AD191" s="15">
        <f t="shared" si="8"/>
        <v>0</v>
      </c>
    </row>
    <row r="192" spans="1:30" x14ac:dyDescent="0.2">
      <c r="A192" s="14">
        <v>1</v>
      </c>
      <c r="B192" s="11">
        <v>623203</v>
      </c>
      <c r="C192" s="11">
        <v>623203</v>
      </c>
      <c r="D192" s="11">
        <v>6</v>
      </c>
      <c r="E192" s="12"/>
      <c r="F192" s="13" t="s">
        <v>219</v>
      </c>
      <c r="G192" s="10">
        <v>0</v>
      </c>
      <c r="H192" s="10">
        <v>0</v>
      </c>
      <c r="I192" s="10">
        <v>0</v>
      </c>
      <c r="J192" s="10">
        <v>0</v>
      </c>
      <c r="K192" s="10">
        <v>25380.53</v>
      </c>
      <c r="L192" s="10">
        <v>25380.53</v>
      </c>
      <c r="M192" s="10">
        <v>25380.53</v>
      </c>
      <c r="N192" s="10">
        <v>25380.53</v>
      </c>
      <c r="O192" s="10">
        <v>0</v>
      </c>
      <c r="P192" s="10">
        <v>0</v>
      </c>
      <c r="Q192" s="1">
        <v>0</v>
      </c>
      <c r="R192" s="1">
        <v>0</v>
      </c>
      <c r="S192" s="1">
        <v>0</v>
      </c>
      <c r="T192" s="1">
        <v>0</v>
      </c>
      <c r="U192" s="1">
        <v>623203</v>
      </c>
      <c r="V192" s="1" t="s">
        <v>219</v>
      </c>
      <c r="W192" s="1" t="s">
        <v>33</v>
      </c>
      <c r="X192" t="s">
        <v>34</v>
      </c>
      <c r="Y192" s="16">
        <v>0</v>
      </c>
      <c r="Z192" s="16">
        <v>0</v>
      </c>
      <c r="AA192" s="15">
        <f t="shared" si="6"/>
        <v>0</v>
      </c>
      <c r="AC192" s="15">
        <f t="shared" si="7"/>
        <v>0</v>
      </c>
      <c r="AD192" s="15">
        <f t="shared" si="8"/>
        <v>0</v>
      </c>
    </row>
    <row r="193" spans="1:30" x14ac:dyDescent="0.2">
      <c r="A193" s="14">
        <v>1</v>
      </c>
      <c r="B193" s="11">
        <v>624000</v>
      </c>
      <c r="C193" s="11">
        <v>624000</v>
      </c>
      <c r="D193" s="11">
        <v>6</v>
      </c>
      <c r="E193" s="12"/>
      <c r="F193" s="13" t="s">
        <v>220</v>
      </c>
      <c r="G193" s="10">
        <v>0</v>
      </c>
      <c r="H193" s="10">
        <v>0</v>
      </c>
      <c r="I193" s="10">
        <v>0</v>
      </c>
      <c r="J193" s="10">
        <v>0</v>
      </c>
      <c r="K193" s="10">
        <v>6921.3</v>
      </c>
      <c r="L193" s="10">
        <v>6921.3</v>
      </c>
      <c r="M193" s="10">
        <v>6921.3</v>
      </c>
      <c r="N193" s="10">
        <v>6921.3</v>
      </c>
      <c r="O193" s="10">
        <v>0</v>
      </c>
      <c r="P193" s="10">
        <v>0</v>
      </c>
      <c r="Q193" s="1">
        <v>0</v>
      </c>
      <c r="R193" s="1">
        <v>0</v>
      </c>
      <c r="S193" s="1">
        <v>0</v>
      </c>
      <c r="T193" s="1">
        <v>0</v>
      </c>
      <c r="U193" s="1">
        <v>624000</v>
      </c>
      <c r="V193" s="1" t="s">
        <v>220</v>
      </c>
      <c r="W193" s="1" t="s">
        <v>33</v>
      </c>
      <c r="X193" t="s">
        <v>34</v>
      </c>
      <c r="Y193" s="16">
        <v>0</v>
      </c>
      <c r="Z193" s="16">
        <v>0</v>
      </c>
      <c r="AA193" s="15">
        <f t="shared" si="6"/>
        <v>0</v>
      </c>
      <c r="AC193" s="15">
        <f t="shared" si="7"/>
        <v>0</v>
      </c>
      <c r="AD193" s="15">
        <f t="shared" si="8"/>
        <v>0</v>
      </c>
    </row>
    <row r="194" spans="1:30" x14ac:dyDescent="0.2">
      <c r="A194" s="14">
        <v>1</v>
      </c>
      <c r="B194" s="11">
        <v>624003</v>
      </c>
      <c r="C194" s="11">
        <v>624003</v>
      </c>
      <c r="D194" s="11">
        <v>6</v>
      </c>
      <c r="E194" s="12"/>
      <c r="F194" s="13" t="s">
        <v>221</v>
      </c>
      <c r="G194" s="10">
        <v>0</v>
      </c>
      <c r="H194" s="10">
        <v>0</v>
      </c>
      <c r="I194" s="10">
        <v>0</v>
      </c>
      <c r="J194" s="10">
        <v>0</v>
      </c>
      <c r="K194" s="10">
        <v>107.17</v>
      </c>
      <c r="L194" s="10">
        <v>107.17</v>
      </c>
      <c r="M194" s="10">
        <v>107.17</v>
      </c>
      <c r="N194" s="10">
        <v>107.17</v>
      </c>
      <c r="O194" s="10">
        <v>0</v>
      </c>
      <c r="P194" s="10">
        <v>0</v>
      </c>
      <c r="Q194" s="1">
        <v>0</v>
      </c>
      <c r="R194" s="1">
        <v>0</v>
      </c>
      <c r="S194" s="1">
        <v>0</v>
      </c>
      <c r="T194" s="1">
        <v>0</v>
      </c>
      <c r="U194" s="1">
        <v>624003</v>
      </c>
      <c r="V194" s="1" t="s">
        <v>221</v>
      </c>
      <c r="W194" s="1" t="s">
        <v>33</v>
      </c>
      <c r="X194" t="s">
        <v>34</v>
      </c>
      <c r="Y194" s="16">
        <v>0</v>
      </c>
      <c r="Z194" s="16">
        <v>0</v>
      </c>
      <c r="AA194" s="15">
        <f t="shared" si="6"/>
        <v>0</v>
      </c>
      <c r="AC194" s="15">
        <f t="shared" si="7"/>
        <v>0</v>
      </c>
      <c r="AD194" s="15">
        <f t="shared" si="8"/>
        <v>0</v>
      </c>
    </row>
    <row r="195" spans="1:30" x14ac:dyDescent="0.2">
      <c r="A195" s="14">
        <v>1</v>
      </c>
      <c r="B195" s="11">
        <v>624004</v>
      </c>
      <c r="C195" s="11">
        <v>624004</v>
      </c>
      <c r="D195" s="11">
        <v>6</v>
      </c>
      <c r="E195" s="12"/>
      <c r="F195" s="13" t="s">
        <v>222</v>
      </c>
      <c r="G195" s="10">
        <v>0</v>
      </c>
      <c r="H195" s="10">
        <v>0</v>
      </c>
      <c r="I195" s="10">
        <v>0</v>
      </c>
      <c r="J195" s="10">
        <v>0</v>
      </c>
      <c r="K195" s="10">
        <v>1000</v>
      </c>
      <c r="L195" s="10">
        <v>1000</v>
      </c>
      <c r="M195" s="10">
        <v>1000</v>
      </c>
      <c r="N195" s="10">
        <v>1000</v>
      </c>
      <c r="O195" s="10">
        <v>0</v>
      </c>
      <c r="P195" s="10">
        <v>0</v>
      </c>
      <c r="Q195" s="1">
        <v>0</v>
      </c>
      <c r="R195" s="1">
        <v>0</v>
      </c>
      <c r="S195" s="1">
        <v>0</v>
      </c>
      <c r="T195" s="1">
        <v>0</v>
      </c>
      <c r="U195" s="1">
        <v>624004</v>
      </c>
      <c r="V195" s="1" t="s">
        <v>222</v>
      </c>
      <c r="W195" s="1" t="s">
        <v>33</v>
      </c>
      <c r="X195" t="s">
        <v>34</v>
      </c>
      <c r="Y195" s="16">
        <v>0</v>
      </c>
      <c r="Z195" s="16">
        <v>0</v>
      </c>
      <c r="AA195" s="15">
        <f t="shared" si="6"/>
        <v>0</v>
      </c>
      <c r="AC195" s="15">
        <f t="shared" si="7"/>
        <v>0</v>
      </c>
      <c r="AD195" s="15">
        <f t="shared" si="8"/>
        <v>0</v>
      </c>
    </row>
    <row r="196" spans="1:30" x14ac:dyDescent="0.2">
      <c r="A196" s="14">
        <v>1</v>
      </c>
      <c r="B196" s="11">
        <v>625000</v>
      </c>
      <c r="C196" s="11">
        <v>625000</v>
      </c>
      <c r="D196" s="11">
        <v>6</v>
      </c>
      <c r="E196" s="12"/>
      <c r="F196" s="13" t="s">
        <v>223</v>
      </c>
      <c r="G196" s="10">
        <v>0</v>
      </c>
      <c r="H196" s="10">
        <v>0</v>
      </c>
      <c r="I196" s="10">
        <v>0</v>
      </c>
      <c r="J196" s="10">
        <v>0</v>
      </c>
      <c r="K196" s="10">
        <v>2201.0100000000002</v>
      </c>
      <c r="L196" s="10">
        <v>2201.0100000000002</v>
      </c>
      <c r="M196" s="10">
        <v>2201.0100000000002</v>
      </c>
      <c r="N196" s="10">
        <v>2201.0100000000002</v>
      </c>
      <c r="O196" s="10">
        <v>0</v>
      </c>
      <c r="P196" s="10">
        <v>0</v>
      </c>
      <c r="Q196" s="1">
        <v>0</v>
      </c>
      <c r="R196" s="1">
        <v>0</v>
      </c>
      <c r="S196" s="1">
        <v>0</v>
      </c>
      <c r="T196" s="1">
        <v>0</v>
      </c>
      <c r="U196" s="1">
        <v>625000</v>
      </c>
      <c r="V196" s="1" t="s">
        <v>223</v>
      </c>
      <c r="W196" s="1" t="s">
        <v>33</v>
      </c>
      <c r="X196" t="s">
        <v>34</v>
      </c>
      <c r="Y196" s="16">
        <v>0</v>
      </c>
      <c r="Z196" s="16">
        <v>0</v>
      </c>
      <c r="AA196" s="15">
        <f t="shared" si="6"/>
        <v>0</v>
      </c>
      <c r="AC196" s="15">
        <f t="shared" si="7"/>
        <v>0</v>
      </c>
      <c r="AD196" s="15">
        <f t="shared" si="8"/>
        <v>0</v>
      </c>
    </row>
    <row r="197" spans="1:30" x14ac:dyDescent="0.2">
      <c r="A197" s="14">
        <v>1</v>
      </c>
      <c r="B197" s="11">
        <v>626000</v>
      </c>
      <c r="C197" s="11">
        <v>626000</v>
      </c>
      <c r="D197" s="11">
        <v>6</v>
      </c>
      <c r="E197" s="12"/>
      <c r="F197" s="13" t="s">
        <v>224</v>
      </c>
      <c r="G197" s="10">
        <v>0</v>
      </c>
      <c r="H197" s="10">
        <v>0</v>
      </c>
      <c r="I197" s="10">
        <v>0</v>
      </c>
      <c r="J197" s="10">
        <v>0</v>
      </c>
      <c r="K197" s="10">
        <v>7186.19</v>
      </c>
      <c r="L197" s="10">
        <v>7186.19</v>
      </c>
      <c r="M197" s="10">
        <v>7186.19</v>
      </c>
      <c r="N197" s="10">
        <v>7186.19</v>
      </c>
      <c r="O197" s="10">
        <v>0</v>
      </c>
      <c r="P197" s="10">
        <v>0</v>
      </c>
      <c r="Q197" s="1">
        <v>0</v>
      </c>
      <c r="R197" s="1">
        <v>0</v>
      </c>
      <c r="S197" s="1">
        <v>0</v>
      </c>
      <c r="T197" s="1">
        <v>0</v>
      </c>
      <c r="U197" s="1">
        <v>626000</v>
      </c>
      <c r="V197" s="1" t="s">
        <v>224</v>
      </c>
      <c r="W197" s="1" t="s">
        <v>33</v>
      </c>
      <c r="X197" t="s">
        <v>34</v>
      </c>
      <c r="Y197" s="16">
        <v>0</v>
      </c>
      <c r="Z197" s="16">
        <v>0</v>
      </c>
      <c r="AA197" s="15">
        <f t="shared" ref="AA197:AA260" si="9">O197-P197-Y197+Z197</f>
        <v>0</v>
      </c>
      <c r="AC197" s="15">
        <f t="shared" si="7"/>
        <v>0</v>
      </c>
      <c r="AD197" s="15">
        <f t="shared" si="8"/>
        <v>0</v>
      </c>
    </row>
    <row r="198" spans="1:30" x14ac:dyDescent="0.2">
      <c r="A198" s="14">
        <v>1</v>
      </c>
      <c r="B198" s="11">
        <v>626100</v>
      </c>
      <c r="C198" s="11">
        <v>626100</v>
      </c>
      <c r="D198" s="11">
        <v>6</v>
      </c>
      <c r="E198" s="12"/>
      <c r="F198" s="13" t="s">
        <v>225</v>
      </c>
      <c r="G198" s="10">
        <v>0</v>
      </c>
      <c r="H198" s="10">
        <v>0</v>
      </c>
      <c r="I198" s="10">
        <v>0</v>
      </c>
      <c r="J198" s="10">
        <v>0</v>
      </c>
      <c r="K198" s="10">
        <v>21610.13</v>
      </c>
      <c r="L198" s="10">
        <v>21610.13</v>
      </c>
      <c r="M198" s="10">
        <v>21610.13</v>
      </c>
      <c r="N198" s="10">
        <v>21610.13</v>
      </c>
      <c r="O198" s="10">
        <v>0</v>
      </c>
      <c r="P198" s="10">
        <v>0</v>
      </c>
      <c r="Q198" s="1">
        <v>0</v>
      </c>
      <c r="R198" s="1">
        <v>0</v>
      </c>
      <c r="S198" s="1">
        <v>0</v>
      </c>
      <c r="T198" s="1">
        <v>0</v>
      </c>
      <c r="U198" s="1">
        <v>626100</v>
      </c>
      <c r="V198" s="1" t="s">
        <v>225</v>
      </c>
      <c r="W198" s="1" t="s">
        <v>33</v>
      </c>
      <c r="X198" t="s">
        <v>34</v>
      </c>
      <c r="Y198" s="16">
        <v>0</v>
      </c>
      <c r="Z198" s="16">
        <v>0</v>
      </c>
      <c r="AA198" s="15">
        <f t="shared" si="9"/>
        <v>0</v>
      </c>
      <c r="AC198" s="15">
        <f t="shared" ref="AC198:AC261" si="10">G198-H198</f>
        <v>0</v>
      </c>
      <c r="AD198" s="15">
        <f t="shared" ref="AD198:AD261" si="11">O198-P198</f>
        <v>0</v>
      </c>
    </row>
    <row r="199" spans="1:30" x14ac:dyDescent="0.2">
      <c r="A199" s="14">
        <v>1</v>
      </c>
      <c r="B199" s="11">
        <v>626200</v>
      </c>
      <c r="C199" s="11">
        <v>626200</v>
      </c>
      <c r="D199" s="11">
        <v>6</v>
      </c>
      <c r="E199" s="12"/>
      <c r="F199" s="13" t="s">
        <v>226</v>
      </c>
      <c r="G199" s="10">
        <v>0</v>
      </c>
      <c r="H199" s="10">
        <v>0</v>
      </c>
      <c r="I199" s="10">
        <v>0</v>
      </c>
      <c r="J199" s="10">
        <v>0</v>
      </c>
      <c r="K199" s="10">
        <v>15.95</v>
      </c>
      <c r="L199" s="10">
        <v>15.95</v>
      </c>
      <c r="M199" s="10">
        <v>15.95</v>
      </c>
      <c r="N199" s="10">
        <v>15.95</v>
      </c>
      <c r="O199" s="10">
        <v>0</v>
      </c>
      <c r="P199" s="10">
        <v>0</v>
      </c>
      <c r="Q199" s="1">
        <v>0</v>
      </c>
      <c r="R199" s="1">
        <v>0</v>
      </c>
      <c r="S199" s="1">
        <v>0</v>
      </c>
      <c r="T199" s="1">
        <v>0</v>
      </c>
      <c r="U199" s="1">
        <v>626200</v>
      </c>
      <c r="V199" s="1" t="s">
        <v>226</v>
      </c>
      <c r="W199" s="1" t="s">
        <v>33</v>
      </c>
      <c r="X199" t="s">
        <v>34</v>
      </c>
      <c r="Y199" s="16">
        <v>0</v>
      </c>
      <c r="Z199" s="16">
        <v>0</v>
      </c>
      <c r="AA199" s="15">
        <f t="shared" si="9"/>
        <v>0</v>
      </c>
      <c r="AC199" s="15">
        <f t="shared" si="10"/>
        <v>0</v>
      </c>
      <c r="AD199" s="15">
        <f t="shared" si="11"/>
        <v>0</v>
      </c>
    </row>
    <row r="200" spans="1:30" x14ac:dyDescent="0.2">
      <c r="A200" s="14">
        <v>1</v>
      </c>
      <c r="B200" s="11">
        <v>627000</v>
      </c>
      <c r="C200" s="11">
        <v>627000</v>
      </c>
      <c r="D200" s="11">
        <v>6</v>
      </c>
      <c r="E200" s="12"/>
      <c r="F200" s="13" t="s">
        <v>227</v>
      </c>
      <c r="G200" s="10">
        <v>0</v>
      </c>
      <c r="H200" s="10">
        <v>0</v>
      </c>
      <c r="I200" s="10">
        <v>0</v>
      </c>
      <c r="J200" s="10">
        <v>0</v>
      </c>
      <c r="K200" s="10">
        <v>8805.8799999999992</v>
      </c>
      <c r="L200" s="10">
        <v>8805.8799999999992</v>
      </c>
      <c r="M200" s="10">
        <v>8805.8799999999992</v>
      </c>
      <c r="N200" s="10">
        <v>8805.8799999999992</v>
      </c>
      <c r="O200" s="10">
        <v>0</v>
      </c>
      <c r="P200" s="10">
        <v>0</v>
      </c>
      <c r="Q200" s="1">
        <v>0</v>
      </c>
      <c r="R200" s="1">
        <v>0</v>
      </c>
      <c r="S200" s="1">
        <v>0</v>
      </c>
      <c r="T200" s="1">
        <v>0</v>
      </c>
      <c r="U200" s="1">
        <v>627000</v>
      </c>
      <c r="V200" s="1" t="s">
        <v>227</v>
      </c>
      <c r="W200" s="1" t="s">
        <v>33</v>
      </c>
      <c r="X200" t="s">
        <v>34</v>
      </c>
      <c r="Y200" s="16">
        <v>0</v>
      </c>
      <c r="Z200" s="16">
        <v>0</v>
      </c>
      <c r="AA200" s="15">
        <f t="shared" si="9"/>
        <v>0</v>
      </c>
      <c r="AC200" s="15">
        <f t="shared" si="10"/>
        <v>0</v>
      </c>
      <c r="AD200" s="15">
        <f t="shared" si="11"/>
        <v>0</v>
      </c>
    </row>
    <row r="201" spans="1:30" x14ac:dyDescent="0.2">
      <c r="A201" s="14">
        <v>1</v>
      </c>
      <c r="B201" s="11">
        <v>628002</v>
      </c>
      <c r="C201" s="11">
        <v>628002</v>
      </c>
      <c r="D201" s="11">
        <v>6</v>
      </c>
      <c r="E201" s="12"/>
      <c r="F201" s="13" t="s">
        <v>228</v>
      </c>
      <c r="G201" s="10">
        <v>0</v>
      </c>
      <c r="H201" s="10">
        <v>0</v>
      </c>
      <c r="I201" s="10">
        <v>0</v>
      </c>
      <c r="J201" s="10">
        <v>0</v>
      </c>
      <c r="K201" s="10">
        <v>1620.91</v>
      </c>
      <c r="L201" s="10">
        <v>1620.91</v>
      </c>
      <c r="M201" s="10">
        <v>1620.91</v>
      </c>
      <c r="N201" s="10">
        <v>1620.91</v>
      </c>
      <c r="O201" s="10">
        <v>0</v>
      </c>
      <c r="P201" s="10">
        <v>0</v>
      </c>
      <c r="Q201" s="1">
        <v>0</v>
      </c>
      <c r="R201" s="1">
        <v>0</v>
      </c>
      <c r="S201" s="1">
        <v>0</v>
      </c>
      <c r="T201" s="1">
        <v>0</v>
      </c>
      <c r="U201" s="1">
        <v>628002</v>
      </c>
      <c r="V201" s="1" t="s">
        <v>228</v>
      </c>
      <c r="W201" s="1" t="s">
        <v>33</v>
      </c>
      <c r="X201" t="s">
        <v>34</v>
      </c>
      <c r="Y201" s="16">
        <v>0</v>
      </c>
      <c r="Z201" s="16">
        <v>0</v>
      </c>
      <c r="AA201" s="15">
        <f t="shared" si="9"/>
        <v>0</v>
      </c>
      <c r="AC201" s="15">
        <f t="shared" si="10"/>
        <v>0</v>
      </c>
      <c r="AD201" s="15">
        <f t="shared" si="11"/>
        <v>0</v>
      </c>
    </row>
    <row r="202" spans="1:30" x14ac:dyDescent="0.2">
      <c r="A202" s="14">
        <v>1</v>
      </c>
      <c r="B202" s="11">
        <v>628003</v>
      </c>
      <c r="C202" s="11">
        <v>628003</v>
      </c>
      <c r="D202" s="11">
        <v>6</v>
      </c>
      <c r="E202" s="12"/>
      <c r="F202" s="13" t="s">
        <v>229</v>
      </c>
      <c r="G202" s="10">
        <v>0</v>
      </c>
      <c r="H202" s="10">
        <v>0</v>
      </c>
      <c r="I202" s="10">
        <v>0</v>
      </c>
      <c r="J202" s="10">
        <v>0</v>
      </c>
      <c r="K202" s="10">
        <v>7893.19</v>
      </c>
      <c r="L202" s="10">
        <v>7893.19</v>
      </c>
      <c r="M202" s="10">
        <v>7893.19</v>
      </c>
      <c r="N202" s="10">
        <v>7893.19</v>
      </c>
      <c r="O202" s="10">
        <v>0</v>
      </c>
      <c r="P202" s="10">
        <v>0</v>
      </c>
      <c r="Q202" s="1">
        <v>0</v>
      </c>
      <c r="R202" s="1">
        <v>0</v>
      </c>
      <c r="S202" s="1">
        <v>0</v>
      </c>
      <c r="T202" s="1">
        <v>0</v>
      </c>
      <c r="U202" s="1">
        <v>628003</v>
      </c>
      <c r="V202" s="1" t="s">
        <v>229</v>
      </c>
      <c r="W202" s="1" t="s">
        <v>33</v>
      </c>
      <c r="X202" t="s">
        <v>34</v>
      </c>
      <c r="Y202" s="16">
        <v>0</v>
      </c>
      <c r="Z202" s="16">
        <v>0</v>
      </c>
      <c r="AA202" s="15">
        <f t="shared" si="9"/>
        <v>0</v>
      </c>
      <c r="AC202" s="15">
        <f t="shared" si="10"/>
        <v>0</v>
      </c>
      <c r="AD202" s="15">
        <f t="shared" si="11"/>
        <v>0</v>
      </c>
    </row>
    <row r="203" spans="1:30" x14ac:dyDescent="0.2">
      <c r="A203" s="14">
        <v>1</v>
      </c>
      <c r="B203" s="11">
        <v>628006</v>
      </c>
      <c r="C203" s="11">
        <v>628006</v>
      </c>
      <c r="D203" s="11">
        <v>6</v>
      </c>
      <c r="E203" s="12"/>
      <c r="F203" s="13" t="s">
        <v>230</v>
      </c>
      <c r="G203" s="10">
        <v>0</v>
      </c>
      <c r="H203" s="10">
        <v>0</v>
      </c>
      <c r="I203" s="10">
        <v>0</v>
      </c>
      <c r="J203" s="10">
        <v>0</v>
      </c>
      <c r="K203" s="10">
        <v>2287.13</v>
      </c>
      <c r="L203" s="10">
        <v>2287.13</v>
      </c>
      <c r="M203" s="10">
        <v>2287.13</v>
      </c>
      <c r="N203" s="10">
        <v>2287.13</v>
      </c>
      <c r="O203" s="10">
        <v>0</v>
      </c>
      <c r="P203" s="10">
        <v>0</v>
      </c>
      <c r="Q203" s="1">
        <v>0</v>
      </c>
      <c r="R203" s="1">
        <v>0</v>
      </c>
      <c r="S203" s="1">
        <v>0</v>
      </c>
      <c r="T203" s="1">
        <v>0</v>
      </c>
      <c r="U203" s="1">
        <v>628006</v>
      </c>
      <c r="V203" s="1" t="s">
        <v>230</v>
      </c>
      <c r="W203" s="1" t="s">
        <v>33</v>
      </c>
      <c r="X203" t="s">
        <v>34</v>
      </c>
      <c r="Y203" s="16">
        <v>0</v>
      </c>
      <c r="Z203" s="16">
        <v>0</v>
      </c>
      <c r="AA203" s="15">
        <f t="shared" si="9"/>
        <v>0</v>
      </c>
      <c r="AC203" s="15">
        <f t="shared" si="10"/>
        <v>0</v>
      </c>
      <c r="AD203" s="15">
        <f t="shared" si="11"/>
        <v>0</v>
      </c>
    </row>
    <row r="204" spans="1:30" x14ac:dyDescent="0.2">
      <c r="A204" s="14">
        <v>1</v>
      </c>
      <c r="B204" s="11">
        <v>628300</v>
      </c>
      <c r="C204" s="11">
        <v>628300</v>
      </c>
      <c r="D204" s="11">
        <v>6</v>
      </c>
      <c r="E204" s="12"/>
      <c r="F204" s="13" t="s">
        <v>231</v>
      </c>
      <c r="G204" s="10">
        <v>0</v>
      </c>
      <c r="H204" s="10">
        <v>0</v>
      </c>
      <c r="I204" s="10">
        <v>0</v>
      </c>
      <c r="J204" s="10">
        <v>0</v>
      </c>
      <c r="K204" s="10">
        <v>106218.33</v>
      </c>
      <c r="L204" s="10">
        <v>106218.33</v>
      </c>
      <c r="M204" s="10">
        <v>106218.33</v>
      </c>
      <c r="N204" s="10">
        <v>106218.33</v>
      </c>
      <c r="O204" s="10">
        <v>0</v>
      </c>
      <c r="P204" s="10">
        <v>0</v>
      </c>
      <c r="Q204" s="1">
        <v>0</v>
      </c>
      <c r="R204" s="1">
        <v>0</v>
      </c>
      <c r="S204" s="1">
        <v>0</v>
      </c>
      <c r="T204" s="1">
        <v>0</v>
      </c>
      <c r="U204" s="1">
        <v>628300</v>
      </c>
      <c r="V204" s="1" t="s">
        <v>231</v>
      </c>
      <c r="W204" s="1" t="s">
        <v>33</v>
      </c>
      <c r="X204" t="s">
        <v>34</v>
      </c>
      <c r="Y204" s="16">
        <v>0</v>
      </c>
      <c r="Z204" s="16">
        <v>0</v>
      </c>
      <c r="AA204" s="15">
        <f t="shared" si="9"/>
        <v>0</v>
      </c>
      <c r="AC204" s="15">
        <f t="shared" si="10"/>
        <v>0</v>
      </c>
      <c r="AD204" s="15">
        <f t="shared" si="11"/>
        <v>0</v>
      </c>
    </row>
    <row r="205" spans="1:30" x14ac:dyDescent="0.2">
      <c r="A205" s="14">
        <v>1</v>
      </c>
      <c r="B205" s="11">
        <v>628700</v>
      </c>
      <c r="C205" s="11">
        <v>628700</v>
      </c>
      <c r="D205" s="11">
        <v>6</v>
      </c>
      <c r="E205" s="12"/>
      <c r="F205" s="13" t="s">
        <v>232</v>
      </c>
      <c r="G205" s="10">
        <v>0</v>
      </c>
      <c r="H205" s="10">
        <v>0</v>
      </c>
      <c r="I205" s="10">
        <v>0</v>
      </c>
      <c r="J205" s="10">
        <v>0</v>
      </c>
      <c r="K205" s="10">
        <v>1180</v>
      </c>
      <c r="L205" s="10">
        <v>1180</v>
      </c>
      <c r="M205" s="10">
        <v>1180</v>
      </c>
      <c r="N205" s="10">
        <v>1180</v>
      </c>
      <c r="O205" s="10">
        <v>0</v>
      </c>
      <c r="P205" s="10">
        <v>0</v>
      </c>
      <c r="Q205" s="1">
        <v>0</v>
      </c>
      <c r="R205" s="1">
        <v>0</v>
      </c>
      <c r="S205" s="1">
        <v>0</v>
      </c>
      <c r="T205" s="1">
        <v>0</v>
      </c>
      <c r="U205" s="1">
        <v>628700</v>
      </c>
      <c r="V205" s="1" t="s">
        <v>232</v>
      </c>
      <c r="W205" s="1" t="s">
        <v>33</v>
      </c>
      <c r="X205" t="s">
        <v>34</v>
      </c>
      <c r="Y205" s="16">
        <v>0</v>
      </c>
      <c r="Z205" s="16">
        <v>0</v>
      </c>
      <c r="AA205" s="15">
        <f t="shared" si="9"/>
        <v>0</v>
      </c>
      <c r="AC205" s="15">
        <f t="shared" si="10"/>
        <v>0</v>
      </c>
      <c r="AD205" s="15">
        <f t="shared" si="11"/>
        <v>0</v>
      </c>
    </row>
    <row r="206" spans="1:30" x14ac:dyDescent="0.2">
      <c r="A206" s="14">
        <v>1</v>
      </c>
      <c r="B206" s="11">
        <v>628701</v>
      </c>
      <c r="C206" s="11">
        <v>628701</v>
      </c>
      <c r="D206" s="11">
        <v>6</v>
      </c>
      <c r="E206" s="12"/>
      <c r="F206" s="13" t="s">
        <v>233</v>
      </c>
      <c r="G206" s="10">
        <v>0</v>
      </c>
      <c r="H206" s="10">
        <v>0</v>
      </c>
      <c r="I206" s="10">
        <v>0</v>
      </c>
      <c r="J206" s="10">
        <v>0</v>
      </c>
      <c r="K206" s="10">
        <v>37115.97</v>
      </c>
      <c r="L206" s="10">
        <v>37115.97</v>
      </c>
      <c r="M206" s="10">
        <v>37115.97</v>
      </c>
      <c r="N206" s="10">
        <v>37115.97</v>
      </c>
      <c r="O206" s="10">
        <v>0</v>
      </c>
      <c r="P206" s="10">
        <v>0</v>
      </c>
      <c r="Q206" s="1">
        <v>0</v>
      </c>
      <c r="R206" s="1">
        <v>0</v>
      </c>
      <c r="S206" s="1">
        <v>0</v>
      </c>
      <c r="T206" s="1">
        <v>0</v>
      </c>
      <c r="U206" s="1">
        <v>628701</v>
      </c>
      <c r="V206" s="1" t="s">
        <v>233</v>
      </c>
      <c r="W206" s="1" t="s">
        <v>33</v>
      </c>
      <c r="X206" t="s">
        <v>34</v>
      </c>
      <c r="Y206" s="16">
        <v>0</v>
      </c>
      <c r="Z206" s="16">
        <v>0</v>
      </c>
      <c r="AA206" s="15">
        <f t="shared" si="9"/>
        <v>0</v>
      </c>
      <c r="AC206" s="15">
        <f t="shared" si="10"/>
        <v>0</v>
      </c>
      <c r="AD206" s="15">
        <f t="shared" si="11"/>
        <v>0</v>
      </c>
    </row>
    <row r="207" spans="1:30" x14ac:dyDescent="0.2">
      <c r="A207" s="14">
        <v>1</v>
      </c>
      <c r="B207" s="11">
        <v>628702</v>
      </c>
      <c r="C207" s="11">
        <v>628702</v>
      </c>
      <c r="D207" s="11">
        <v>6</v>
      </c>
      <c r="E207" s="12"/>
      <c r="F207" s="13" t="s">
        <v>234</v>
      </c>
      <c r="G207" s="10">
        <v>0</v>
      </c>
      <c r="H207" s="10">
        <v>0</v>
      </c>
      <c r="I207" s="10">
        <v>0</v>
      </c>
      <c r="J207" s="10">
        <v>0</v>
      </c>
      <c r="K207" s="10">
        <v>2243.38</v>
      </c>
      <c r="L207" s="10">
        <v>2243.38</v>
      </c>
      <c r="M207" s="10">
        <v>2243.38</v>
      </c>
      <c r="N207" s="10">
        <v>2243.38</v>
      </c>
      <c r="O207" s="10">
        <v>0</v>
      </c>
      <c r="P207" s="10">
        <v>0</v>
      </c>
      <c r="Q207" s="1">
        <v>0</v>
      </c>
      <c r="R207" s="1">
        <v>0</v>
      </c>
      <c r="S207" s="1">
        <v>0</v>
      </c>
      <c r="T207" s="1">
        <v>0</v>
      </c>
      <c r="U207" s="1">
        <v>628702</v>
      </c>
      <c r="V207" s="1" t="s">
        <v>234</v>
      </c>
      <c r="W207" s="1" t="s">
        <v>33</v>
      </c>
      <c r="X207" t="s">
        <v>34</v>
      </c>
      <c r="Y207" s="16">
        <v>0</v>
      </c>
      <c r="Z207" s="16">
        <v>0</v>
      </c>
      <c r="AA207" s="15">
        <f t="shared" si="9"/>
        <v>0</v>
      </c>
      <c r="AC207" s="15">
        <f t="shared" si="10"/>
        <v>0</v>
      </c>
      <c r="AD207" s="15">
        <f t="shared" si="11"/>
        <v>0</v>
      </c>
    </row>
    <row r="208" spans="1:30" x14ac:dyDescent="0.2">
      <c r="A208" s="14">
        <v>1</v>
      </c>
      <c r="B208" s="11">
        <v>635000</v>
      </c>
      <c r="C208" s="11">
        <v>635000</v>
      </c>
      <c r="D208" s="11">
        <v>6</v>
      </c>
      <c r="E208" s="12"/>
      <c r="F208" s="13" t="s">
        <v>235</v>
      </c>
      <c r="G208" s="10">
        <v>0</v>
      </c>
      <c r="H208" s="10">
        <v>0</v>
      </c>
      <c r="I208" s="10">
        <v>0</v>
      </c>
      <c r="J208" s="10">
        <v>0</v>
      </c>
      <c r="K208" s="10">
        <v>511.5</v>
      </c>
      <c r="L208" s="10">
        <v>511.5</v>
      </c>
      <c r="M208" s="10">
        <v>511.5</v>
      </c>
      <c r="N208" s="10">
        <v>511.5</v>
      </c>
      <c r="O208" s="10">
        <v>0</v>
      </c>
      <c r="P208" s="10">
        <v>0</v>
      </c>
      <c r="Q208" s="1">
        <v>0</v>
      </c>
      <c r="R208" s="1">
        <v>0</v>
      </c>
      <c r="S208" s="1">
        <v>0</v>
      </c>
      <c r="T208" s="1">
        <v>0</v>
      </c>
      <c r="U208" s="1">
        <v>635000</v>
      </c>
      <c r="V208" s="1" t="s">
        <v>235</v>
      </c>
      <c r="W208" s="1" t="s">
        <v>33</v>
      </c>
      <c r="X208" t="s">
        <v>34</v>
      </c>
      <c r="Y208" s="16">
        <v>0</v>
      </c>
      <c r="Z208" s="16">
        <v>0</v>
      </c>
      <c r="AA208" s="15">
        <f t="shared" si="9"/>
        <v>0</v>
      </c>
      <c r="AC208" s="15">
        <f t="shared" si="10"/>
        <v>0</v>
      </c>
      <c r="AD208" s="15">
        <f t="shared" si="11"/>
        <v>0</v>
      </c>
    </row>
    <row r="209" spans="1:30" x14ac:dyDescent="0.2">
      <c r="A209" s="14">
        <v>1</v>
      </c>
      <c r="B209" s="11">
        <v>635002</v>
      </c>
      <c r="C209" s="11">
        <v>635002</v>
      </c>
      <c r="D209" s="11">
        <v>6</v>
      </c>
      <c r="E209" s="12"/>
      <c r="F209" s="13" t="s">
        <v>236</v>
      </c>
      <c r="G209" s="10">
        <v>0</v>
      </c>
      <c r="H209" s="10">
        <v>0</v>
      </c>
      <c r="I209" s="10">
        <v>0</v>
      </c>
      <c r="J209" s="10">
        <v>0</v>
      </c>
      <c r="K209" s="10">
        <v>8357.7900000000009</v>
      </c>
      <c r="L209" s="10">
        <v>8357.7900000000009</v>
      </c>
      <c r="M209" s="10">
        <v>8357.7900000000009</v>
      </c>
      <c r="N209" s="10">
        <v>8357.7900000000009</v>
      </c>
      <c r="O209" s="10">
        <v>0</v>
      </c>
      <c r="P209" s="10">
        <v>0</v>
      </c>
      <c r="Q209" s="1">
        <v>0</v>
      </c>
      <c r="R209" s="1">
        <v>0</v>
      </c>
      <c r="S209" s="1">
        <v>0</v>
      </c>
      <c r="T209" s="1">
        <v>0</v>
      </c>
      <c r="U209" s="1">
        <v>635002</v>
      </c>
      <c r="V209" s="1" t="s">
        <v>236</v>
      </c>
      <c r="W209" s="1" t="s">
        <v>33</v>
      </c>
      <c r="X209" t="s">
        <v>34</v>
      </c>
      <c r="Y209" s="16">
        <v>0</v>
      </c>
      <c r="Z209" s="16">
        <v>0</v>
      </c>
      <c r="AA209" s="15">
        <f t="shared" si="9"/>
        <v>0</v>
      </c>
      <c r="AC209" s="15">
        <f t="shared" si="10"/>
        <v>0</v>
      </c>
      <c r="AD209" s="15">
        <f t="shared" si="11"/>
        <v>0</v>
      </c>
    </row>
    <row r="210" spans="1:30" x14ac:dyDescent="0.2">
      <c r="A210" s="14">
        <v>1</v>
      </c>
      <c r="B210" s="11">
        <v>635300</v>
      </c>
      <c r="C210" s="11">
        <v>635300</v>
      </c>
      <c r="D210" s="11">
        <v>6</v>
      </c>
      <c r="E210" s="12"/>
      <c r="F210" s="13" t="s">
        <v>237</v>
      </c>
      <c r="G210" s="10">
        <v>0</v>
      </c>
      <c r="H210" s="10">
        <v>0</v>
      </c>
      <c r="I210" s="10">
        <v>0</v>
      </c>
      <c r="J210" s="10">
        <v>0</v>
      </c>
      <c r="K210" s="10">
        <v>31500.61</v>
      </c>
      <c r="L210" s="10">
        <v>31500.61</v>
      </c>
      <c r="M210" s="10">
        <v>31500.61</v>
      </c>
      <c r="N210" s="10">
        <v>31500.61</v>
      </c>
      <c r="O210" s="10">
        <v>0</v>
      </c>
      <c r="P210" s="10">
        <v>0</v>
      </c>
      <c r="Q210" s="1">
        <v>0</v>
      </c>
      <c r="R210" s="1">
        <v>0</v>
      </c>
      <c r="S210" s="1">
        <v>0</v>
      </c>
      <c r="T210" s="1">
        <v>0</v>
      </c>
      <c r="U210" s="1">
        <v>635300</v>
      </c>
      <c r="V210" s="1" t="s">
        <v>237</v>
      </c>
      <c r="W210" s="1" t="s">
        <v>33</v>
      </c>
      <c r="X210" t="s">
        <v>34</v>
      </c>
      <c r="Y210" s="16">
        <v>0</v>
      </c>
      <c r="Z210" s="16">
        <v>0</v>
      </c>
      <c r="AA210" s="15">
        <f t="shared" si="9"/>
        <v>0</v>
      </c>
      <c r="AC210" s="15">
        <f t="shared" si="10"/>
        <v>0</v>
      </c>
      <c r="AD210" s="15">
        <f t="shared" si="11"/>
        <v>0</v>
      </c>
    </row>
    <row r="211" spans="1:30" x14ac:dyDescent="0.2">
      <c r="A211" s="14">
        <v>1</v>
      </c>
      <c r="B211" s="11">
        <v>635400</v>
      </c>
      <c r="C211" s="11">
        <v>635400</v>
      </c>
      <c r="D211" s="11">
        <v>6</v>
      </c>
      <c r="E211" s="12"/>
      <c r="F211" s="13" t="s">
        <v>238</v>
      </c>
      <c r="G211" s="10">
        <v>0</v>
      </c>
      <c r="H211" s="10">
        <v>0</v>
      </c>
      <c r="I211" s="10">
        <v>0</v>
      </c>
      <c r="J211" s="10">
        <v>0</v>
      </c>
      <c r="K211" s="10">
        <v>0</v>
      </c>
      <c r="L211" s="10">
        <v>0</v>
      </c>
      <c r="M211" s="10">
        <v>0</v>
      </c>
      <c r="N211" s="10">
        <v>0</v>
      </c>
      <c r="O211" s="10">
        <v>0</v>
      </c>
      <c r="P211" s="10">
        <v>0</v>
      </c>
      <c r="Q211" s="1">
        <v>0</v>
      </c>
      <c r="R211" s="1">
        <v>0</v>
      </c>
      <c r="S211" s="1">
        <v>0</v>
      </c>
      <c r="T211" s="1">
        <v>0</v>
      </c>
      <c r="U211" s="1">
        <v>635400</v>
      </c>
      <c r="V211" s="1" t="s">
        <v>238</v>
      </c>
      <c r="W211" s="1" t="s">
        <v>33</v>
      </c>
      <c r="X211" t="s">
        <v>34</v>
      </c>
      <c r="Y211" s="16">
        <v>0</v>
      </c>
      <c r="Z211" s="16">
        <v>0</v>
      </c>
      <c r="AA211" s="15">
        <f t="shared" si="9"/>
        <v>0</v>
      </c>
      <c r="AC211" s="15">
        <f t="shared" si="10"/>
        <v>0</v>
      </c>
      <c r="AD211" s="15">
        <f t="shared" si="11"/>
        <v>0</v>
      </c>
    </row>
    <row r="212" spans="1:30" x14ac:dyDescent="0.2">
      <c r="A212" s="14">
        <v>1</v>
      </c>
      <c r="B212" s="11">
        <v>641100</v>
      </c>
      <c r="C212" s="11">
        <v>641100</v>
      </c>
      <c r="D212" s="11">
        <v>6</v>
      </c>
      <c r="E212" s="12"/>
      <c r="F212" s="13" t="s">
        <v>239</v>
      </c>
      <c r="G212" s="10">
        <v>0</v>
      </c>
      <c r="H212" s="10">
        <v>0</v>
      </c>
      <c r="I212" s="10">
        <v>0</v>
      </c>
      <c r="J212" s="10">
        <v>0</v>
      </c>
      <c r="K212" s="10">
        <v>1204103</v>
      </c>
      <c r="L212" s="10">
        <v>1204103</v>
      </c>
      <c r="M212" s="10">
        <v>1204103</v>
      </c>
      <c r="N212" s="10">
        <v>1204103</v>
      </c>
      <c r="O212" s="10">
        <v>0</v>
      </c>
      <c r="P212" s="10">
        <v>0</v>
      </c>
      <c r="Q212" s="1">
        <v>0</v>
      </c>
      <c r="R212" s="1">
        <v>0</v>
      </c>
      <c r="S212" s="1">
        <v>0</v>
      </c>
      <c r="T212" s="1">
        <v>0</v>
      </c>
      <c r="U212" s="1">
        <v>641100</v>
      </c>
      <c r="V212" s="1" t="s">
        <v>239</v>
      </c>
      <c r="W212" s="1" t="s">
        <v>33</v>
      </c>
      <c r="X212" t="s">
        <v>34</v>
      </c>
      <c r="Y212" s="16">
        <v>0</v>
      </c>
      <c r="Z212" s="16">
        <v>0</v>
      </c>
      <c r="AA212" s="15">
        <f t="shared" si="9"/>
        <v>0</v>
      </c>
      <c r="AC212" s="15">
        <f t="shared" si="10"/>
        <v>0</v>
      </c>
      <c r="AD212" s="15">
        <f t="shared" si="11"/>
        <v>0</v>
      </c>
    </row>
    <row r="213" spans="1:30" x14ac:dyDescent="0.2">
      <c r="A213" s="14">
        <v>1</v>
      </c>
      <c r="B213" s="11">
        <v>641200</v>
      </c>
      <c r="C213" s="11">
        <v>641200</v>
      </c>
      <c r="D213" s="11">
        <v>6</v>
      </c>
      <c r="E213" s="12"/>
      <c r="F213" s="13" t="s">
        <v>240</v>
      </c>
      <c r="G213" s="10">
        <v>0</v>
      </c>
      <c r="H213" s="10">
        <v>0</v>
      </c>
      <c r="I213" s="10">
        <v>0</v>
      </c>
      <c r="J213" s="10">
        <v>0</v>
      </c>
      <c r="K213" s="10">
        <v>395295</v>
      </c>
      <c r="L213" s="10">
        <v>395295</v>
      </c>
      <c r="M213" s="10">
        <v>395295</v>
      </c>
      <c r="N213" s="10">
        <v>395295</v>
      </c>
      <c r="O213" s="10">
        <v>0</v>
      </c>
      <c r="P213" s="10">
        <v>0</v>
      </c>
      <c r="Q213" s="1">
        <v>0</v>
      </c>
      <c r="R213" s="1">
        <v>0</v>
      </c>
      <c r="S213" s="1">
        <v>0</v>
      </c>
      <c r="T213" s="1">
        <v>0</v>
      </c>
      <c r="U213" s="1">
        <v>641200</v>
      </c>
      <c r="V213" s="1" t="s">
        <v>240</v>
      </c>
      <c r="W213" s="1" t="s">
        <v>33</v>
      </c>
      <c r="X213" t="s">
        <v>34</v>
      </c>
      <c r="Y213" s="16">
        <v>0</v>
      </c>
      <c r="Z213" s="16">
        <v>0</v>
      </c>
      <c r="AA213" s="15">
        <f t="shared" si="9"/>
        <v>0</v>
      </c>
      <c r="AC213" s="15">
        <f t="shared" si="10"/>
        <v>0</v>
      </c>
      <c r="AD213" s="15">
        <f t="shared" si="11"/>
        <v>0</v>
      </c>
    </row>
    <row r="214" spans="1:30" x14ac:dyDescent="0.2">
      <c r="A214" s="14">
        <v>1</v>
      </c>
      <c r="B214" s="11">
        <v>642200</v>
      </c>
      <c r="C214" s="11">
        <v>642200</v>
      </c>
      <c r="D214" s="11">
        <v>6</v>
      </c>
      <c r="E214" s="12"/>
      <c r="F214" s="13" t="s">
        <v>241</v>
      </c>
      <c r="G214" s="10">
        <v>0</v>
      </c>
      <c r="H214" s="10">
        <v>0</v>
      </c>
      <c r="I214" s="10">
        <v>0</v>
      </c>
      <c r="J214" s="10">
        <v>0</v>
      </c>
      <c r="K214" s="10">
        <v>116760</v>
      </c>
      <c r="L214" s="10">
        <v>116760</v>
      </c>
      <c r="M214" s="10">
        <v>116760</v>
      </c>
      <c r="N214" s="10">
        <v>116760</v>
      </c>
      <c r="O214" s="10">
        <v>0</v>
      </c>
      <c r="P214" s="10">
        <v>0</v>
      </c>
      <c r="Q214" s="1">
        <v>0</v>
      </c>
      <c r="R214" s="1">
        <v>0</v>
      </c>
      <c r="S214" s="1">
        <v>0</v>
      </c>
      <c r="T214" s="1">
        <v>0</v>
      </c>
      <c r="U214" s="1">
        <v>642200</v>
      </c>
      <c r="V214" s="1" t="s">
        <v>241</v>
      </c>
      <c r="W214" s="1" t="s">
        <v>33</v>
      </c>
      <c r="X214" t="s">
        <v>34</v>
      </c>
      <c r="Y214" s="16">
        <v>0</v>
      </c>
      <c r="Z214" s="16">
        <v>0</v>
      </c>
      <c r="AA214" s="15">
        <f t="shared" si="9"/>
        <v>0</v>
      </c>
      <c r="AC214" s="15">
        <f t="shared" si="10"/>
        <v>0</v>
      </c>
      <c r="AD214" s="15">
        <f t="shared" si="11"/>
        <v>0</v>
      </c>
    </row>
    <row r="215" spans="1:30" x14ac:dyDescent="0.2">
      <c r="A215" s="14">
        <v>1</v>
      </c>
      <c r="B215" s="11">
        <v>645800</v>
      </c>
      <c r="C215" s="11">
        <v>645800</v>
      </c>
      <c r="D215" s="11">
        <v>6</v>
      </c>
      <c r="E215" s="12"/>
      <c r="F215" s="13" t="s">
        <v>242</v>
      </c>
      <c r="G215" s="10">
        <v>0</v>
      </c>
      <c r="H215" s="10">
        <v>0</v>
      </c>
      <c r="I215" s="10">
        <v>0</v>
      </c>
      <c r="J215" s="10">
        <v>0</v>
      </c>
      <c r="K215" s="10">
        <v>12533</v>
      </c>
      <c r="L215" s="10">
        <v>12533</v>
      </c>
      <c r="M215" s="10">
        <v>12533</v>
      </c>
      <c r="N215" s="10">
        <v>12533</v>
      </c>
      <c r="O215" s="10">
        <v>0</v>
      </c>
      <c r="P215" s="10">
        <v>0</v>
      </c>
      <c r="Q215" s="1">
        <v>0</v>
      </c>
      <c r="R215" s="1">
        <v>0</v>
      </c>
      <c r="S215" s="1">
        <v>0</v>
      </c>
      <c r="T215" s="1">
        <v>0</v>
      </c>
      <c r="U215" s="1">
        <v>645800</v>
      </c>
      <c r="V215" s="1" t="s">
        <v>242</v>
      </c>
      <c r="W215" s="1" t="s">
        <v>33</v>
      </c>
      <c r="X215" t="s">
        <v>34</v>
      </c>
      <c r="Y215" s="16">
        <v>0</v>
      </c>
      <c r="Z215" s="16">
        <v>0</v>
      </c>
      <c r="AA215" s="15">
        <f t="shared" si="9"/>
        <v>0</v>
      </c>
      <c r="AC215" s="15">
        <f t="shared" si="10"/>
        <v>0</v>
      </c>
      <c r="AD215" s="15">
        <f t="shared" si="11"/>
        <v>0</v>
      </c>
    </row>
    <row r="216" spans="1:30" x14ac:dyDescent="0.2">
      <c r="A216" s="14">
        <v>1</v>
      </c>
      <c r="B216" s="11">
        <v>645850</v>
      </c>
      <c r="C216" s="11">
        <v>645850</v>
      </c>
      <c r="D216" s="11">
        <v>6</v>
      </c>
      <c r="E216" s="12"/>
      <c r="F216" s="13" t="s">
        <v>243</v>
      </c>
      <c r="G216" s="10">
        <v>0</v>
      </c>
      <c r="H216" s="10">
        <v>0</v>
      </c>
      <c r="I216" s="10">
        <v>0</v>
      </c>
      <c r="J216" s="10">
        <v>0</v>
      </c>
      <c r="K216" s="10">
        <v>7322</v>
      </c>
      <c r="L216" s="10">
        <v>7322</v>
      </c>
      <c r="M216" s="10">
        <v>7322</v>
      </c>
      <c r="N216" s="10">
        <v>7322</v>
      </c>
      <c r="O216" s="10">
        <v>0</v>
      </c>
      <c r="P216" s="10">
        <v>0</v>
      </c>
      <c r="Q216" s="1">
        <v>0</v>
      </c>
      <c r="R216" s="1">
        <v>0</v>
      </c>
      <c r="S216" s="1">
        <v>0</v>
      </c>
      <c r="T216" s="1">
        <v>0</v>
      </c>
      <c r="U216" s="1">
        <v>645850</v>
      </c>
      <c r="V216" s="1" t="s">
        <v>243</v>
      </c>
      <c r="W216" s="1" t="s">
        <v>33</v>
      </c>
      <c r="X216" t="s">
        <v>34</v>
      </c>
      <c r="Y216" s="16">
        <v>0</v>
      </c>
      <c r="Z216" s="16">
        <v>0</v>
      </c>
      <c r="AA216" s="15">
        <f t="shared" si="9"/>
        <v>0</v>
      </c>
      <c r="AC216" s="15">
        <f t="shared" si="10"/>
        <v>0</v>
      </c>
      <c r="AD216" s="15">
        <f t="shared" si="11"/>
        <v>0</v>
      </c>
    </row>
    <row r="217" spans="1:30" x14ac:dyDescent="0.2">
      <c r="A217" s="14">
        <v>1</v>
      </c>
      <c r="B217" s="11">
        <v>645851</v>
      </c>
      <c r="C217" s="11">
        <v>645851</v>
      </c>
      <c r="D217" s="11">
        <v>6</v>
      </c>
      <c r="E217" s="12"/>
      <c r="F217" s="13" t="s">
        <v>244</v>
      </c>
      <c r="G217" s="10">
        <v>0</v>
      </c>
      <c r="H217" s="10">
        <v>0</v>
      </c>
      <c r="I217" s="10">
        <v>0</v>
      </c>
      <c r="J217" s="10">
        <v>0</v>
      </c>
      <c r="K217" s="10">
        <v>5413</v>
      </c>
      <c r="L217" s="10">
        <v>5413</v>
      </c>
      <c r="M217" s="10">
        <v>5413</v>
      </c>
      <c r="N217" s="10">
        <v>5413</v>
      </c>
      <c r="O217" s="10">
        <v>0</v>
      </c>
      <c r="P217" s="10">
        <v>0</v>
      </c>
      <c r="Q217" s="1">
        <v>0</v>
      </c>
      <c r="R217" s="1">
        <v>0</v>
      </c>
      <c r="S217" s="1">
        <v>0</v>
      </c>
      <c r="T217" s="1">
        <v>0</v>
      </c>
      <c r="U217" s="1">
        <v>645851</v>
      </c>
      <c r="V217" s="1" t="s">
        <v>244</v>
      </c>
      <c r="W217" s="1" t="s">
        <v>33</v>
      </c>
      <c r="X217" t="s">
        <v>34</v>
      </c>
      <c r="Y217" s="16">
        <v>0</v>
      </c>
      <c r="Z217" s="16">
        <v>0</v>
      </c>
      <c r="AA217" s="15">
        <f t="shared" si="9"/>
        <v>0</v>
      </c>
      <c r="AC217" s="15">
        <f t="shared" si="10"/>
        <v>0</v>
      </c>
      <c r="AD217" s="15">
        <f t="shared" si="11"/>
        <v>0</v>
      </c>
    </row>
    <row r="218" spans="1:30" x14ac:dyDescent="0.2">
      <c r="A218" s="14">
        <v>1</v>
      </c>
      <c r="B218" s="11">
        <v>646150</v>
      </c>
      <c r="C218" s="11">
        <v>646150</v>
      </c>
      <c r="D218" s="11">
        <v>6</v>
      </c>
      <c r="E218" s="12"/>
      <c r="F218" s="13" t="s">
        <v>245</v>
      </c>
      <c r="G218" s="10">
        <v>0</v>
      </c>
      <c r="H218" s="10">
        <v>0</v>
      </c>
      <c r="I218" s="10">
        <v>0</v>
      </c>
      <c r="J218" s="10">
        <v>0</v>
      </c>
      <c r="K218" s="10">
        <v>14448</v>
      </c>
      <c r="L218" s="10">
        <v>14448</v>
      </c>
      <c r="M218" s="10">
        <v>14448</v>
      </c>
      <c r="N218" s="10">
        <v>14448</v>
      </c>
      <c r="O218" s="10">
        <v>0</v>
      </c>
      <c r="P218" s="10">
        <v>0</v>
      </c>
      <c r="Q218" s="1">
        <v>0</v>
      </c>
      <c r="R218" s="1">
        <v>0</v>
      </c>
      <c r="S218" s="1">
        <v>0</v>
      </c>
      <c r="T218" s="1">
        <v>0</v>
      </c>
      <c r="U218" s="1">
        <v>646150</v>
      </c>
      <c r="V218" s="1" t="s">
        <v>245</v>
      </c>
      <c r="W218" s="1" t="s">
        <v>33</v>
      </c>
      <c r="X218" t="s">
        <v>34</v>
      </c>
      <c r="Y218" s="16">
        <v>0</v>
      </c>
      <c r="Z218" s="16">
        <v>0</v>
      </c>
      <c r="AA218" s="15">
        <f t="shared" si="9"/>
        <v>0</v>
      </c>
      <c r="AC218" s="15">
        <f t="shared" si="10"/>
        <v>0</v>
      </c>
      <c r="AD218" s="15">
        <f t="shared" si="11"/>
        <v>0</v>
      </c>
    </row>
    <row r="219" spans="1:30" x14ac:dyDescent="0.2">
      <c r="A219" s="14">
        <v>1</v>
      </c>
      <c r="B219" s="11">
        <v>646151</v>
      </c>
      <c r="C219" s="11">
        <v>646151</v>
      </c>
      <c r="D219" s="11">
        <v>6</v>
      </c>
      <c r="E219" s="12"/>
      <c r="F219" s="13" t="s">
        <v>245</v>
      </c>
      <c r="G219" s="10">
        <v>0</v>
      </c>
      <c r="H219" s="10">
        <v>0</v>
      </c>
      <c r="I219" s="10">
        <v>0</v>
      </c>
      <c r="J219" s="10">
        <v>0</v>
      </c>
      <c r="K219" s="10">
        <v>21820</v>
      </c>
      <c r="L219" s="10">
        <v>21820</v>
      </c>
      <c r="M219" s="10">
        <v>21820</v>
      </c>
      <c r="N219" s="10">
        <v>21820</v>
      </c>
      <c r="O219" s="10">
        <v>0</v>
      </c>
      <c r="P219" s="10">
        <v>0</v>
      </c>
      <c r="Q219" s="1">
        <v>0</v>
      </c>
      <c r="R219" s="1">
        <v>0</v>
      </c>
      <c r="S219" s="1">
        <v>0</v>
      </c>
      <c r="T219" s="1">
        <v>0</v>
      </c>
      <c r="U219" s="1">
        <v>646151</v>
      </c>
      <c r="V219" s="1" t="s">
        <v>245</v>
      </c>
      <c r="W219" s="1" t="s">
        <v>33</v>
      </c>
      <c r="X219" t="s">
        <v>34</v>
      </c>
      <c r="Y219" s="16">
        <v>0</v>
      </c>
      <c r="Z219" s="16">
        <v>0</v>
      </c>
      <c r="AA219" s="15">
        <f t="shared" si="9"/>
        <v>0</v>
      </c>
      <c r="AC219" s="15">
        <f t="shared" si="10"/>
        <v>0</v>
      </c>
      <c r="AD219" s="15">
        <f t="shared" si="11"/>
        <v>0</v>
      </c>
    </row>
    <row r="220" spans="1:30" x14ac:dyDescent="0.2">
      <c r="A220" s="14">
        <v>1</v>
      </c>
      <c r="B220" s="11">
        <v>658100</v>
      </c>
      <c r="C220" s="11">
        <v>658100</v>
      </c>
      <c r="D220" s="11">
        <v>6</v>
      </c>
      <c r="E220" s="12"/>
      <c r="F220" s="13" t="s">
        <v>246</v>
      </c>
      <c r="G220" s="10">
        <v>0</v>
      </c>
      <c r="H220" s="10">
        <v>0</v>
      </c>
      <c r="I220" s="10">
        <v>0</v>
      </c>
      <c r="J220" s="10">
        <v>0</v>
      </c>
      <c r="K220" s="10">
        <v>1.21</v>
      </c>
      <c r="L220" s="10">
        <v>1.21</v>
      </c>
      <c r="M220" s="10">
        <v>1.21</v>
      </c>
      <c r="N220" s="10">
        <v>1.21</v>
      </c>
      <c r="O220" s="10">
        <v>0</v>
      </c>
      <c r="P220" s="10">
        <v>0</v>
      </c>
      <c r="Q220" s="1">
        <v>0</v>
      </c>
      <c r="R220" s="1">
        <v>0</v>
      </c>
      <c r="S220" s="1">
        <v>0</v>
      </c>
      <c r="T220" s="1">
        <v>0</v>
      </c>
      <c r="U220" s="1">
        <v>658100</v>
      </c>
      <c r="V220" s="1" t="s">
        <v>246</v>
      </c>
      <c r="W220" s="1" t="s">
        <v>33</v>
      </c>
      <c r="X220" t="s">
        <v>34</v>
      </c>
      <c r="Y220" s="16">
        <v>0</v>
      </c>
      <c r="Z220" s="16">
        <v>0</v>
      </c>
      <c r="AA220" s="15">
        <f t="shared" si="9"/>
        <v>0</v>
      </c>
      <c r="AC220" s="15">
        <f t="shared" si="10"/>
        <v>0</v>
      </c>
      <c r="AD220" s="15">
        <f t="shared" si="11"/>
        <v>0</v>
      </c>
    </row>
    <row r="221" spans="1:30" x14ac:dyDescent="0.2">
      <c r="A221" s="14">
        <v>1</v>
      </c>
      <c r="B221" s="11">
        <v>658101</v>
      </c>
      <c r="C221" s="11">
        <v>658101</v>
      </c>
      <c r="D221" s="11">
        <v>6</v>
      </c>
      <c r="E221" s="12"/>
      <c r="F221" s="13" t="s">
        <v>247</v>
      </c>
      <c r="G221" s="10">
        <v>0</v>
      </c>
      <c r="H221" s="10">
        <v>0</v>
      </c>
      <c r="I221" s="10">
        <v>0</v>
      </c>
      <c r="J221" s="10">
        <v>0</v>
      </c>
      <c r="K221" s="10">
        <v>2346.35</v>
      </c>
      <c r="L221" s="10">
        <v>2346.35</v>
      </c>
      <c r="M221" s="10">
        <v>2346.35</v>
      </c>
      <c r="N221" s="10">
        <v>2346.35</v>
      </c>
      <c r="O221" s="10">
        <v>0</v>
      </c>
      <c r="P221" s="10">
        <v>0</v>
      </c>
      <c r="Q221" s="1">
        <v>0</v>
      </c>
      <c r="R221" s="1">
        <v>0</v>
      </c>
      <c r="S221" s="1">
        <v>0</v>
      </c>
      <c r="T221" s="1">
        <v>0</v>
      </c>
      <c r="U221" s="1">
        <v>658101</v>
      </c>
      <c r="V221" s="1" t="s">
        <v>247</v>
      </c>
      <c r="W221" s="1" t="s">
        <v>33</v>
      </c>
      <c r="X221" t="s">
        <v>34</v>
      </c>
      <c r="Y221" s="16">
        <v>0</v>
      </c>
      <c r="Z221" s="16">
        <v>0</v>
      </c>
      <c r="AA221" s="15">
        <f t="shared" si="9"/>
        <v>0</v>
      </c>
      <c r="AC221" s="15">
        <f t="shared" si="10"/>
        <v>0</v>
      </c>
      <c r="AD221" s="15">
        <f t="shared" si="11"/>
        <v>0</v>
      </c>
    </row>
    <row r="222" spans="1:30" x14ac:dyDescent="0.2">
      <c r="A222" s="14">
        <v>1</v>
      </c>
      <c r="B222" s="11">
        <v>658300</v>
      </c>
      <c r="C222" s="11">
        <v>658300</v>
      </c>
      <c r="D222" s="11">
        <v>6</v>
      </c>
      <c r="E222" s="12"/>
      <c r="F222" s="13" t="s">
        <v>248</v>
      </c>
      <c r="G222" s="10">
        <v>0</v>
      </c>
      <c r="H222" s="10">
        <v>0</v>
      </c>
      <c r="I222" s="10">
        <v>0</v>
      </c>
      <c r="J222" s="10">
        <v>0</v>
      </c>
      <c r="K222" s="10">
        <v>669307.79</v>
      </c>
      <c r="L222" s="10">
        <v>669307.79</v>
      </c>
      <c r="M222" s="10">
        <v>669307.79</v>
      </c>
      <c r="N222" s="10">
        <v>669307.79</v>
      </c>
      <c r="O222" s="10">
        <v>0</v>
      </c>
      <c r="P222" s="10">
        <v>0</v>
      </c>
      <c r="Q222" s="1">
        <v>0</v>
      </c>
      <c r="R222" s="1">
        <v>0</v>
      </c>
      <c r="S222" s="1">
        <v>0</v>
      </c>
      <c r="T222" s="1">
        <v>0</v>
      </c>
      <c r="U222" s="1">
        <v>658300</v>
      </c>
      <c r="V222" s="1" t="s">
        <v>248</v>
      </c>
      <c r="W222" s="1" t="s">
        <v>33</v>
      </c>
      <c r="X222" t="s">
        <v>34</v>
      </c>
      <c r="Y222" s="16">
        <v>0</v>
      </c>
      <c r="Z222" s="16">
        <v>0</v>
      </c>
      <c r="AA222" s="15">
        <f t="shared" si="9"/>
        <v>0</v>
      </c>
      <c r="AC222" s="15">
        <f t="shared" si="10"/>
        <v>0</v>
      </c>
      <c r="AD222" s="15">
        <f t="shared" si="11"/>
        <v>0</v>
      </c>
    </row>
    <row r="223" spans="1:30" x14ac:dyDescent="0.2">
      <c r="A223" s="14">
        <v>1</v>
      </c>
      <c r="B223" s="11">
        <v>658400</v>
      </c>
      <c r="C223" s="11">
        <v>658400</v>
      </c>
      <c r="D223" s="11">
        <v>6</v>
      </c>
      <c r="E223" s="12"/>
      <c r="F223" s="13" t="s">
        <v>249</v>
      </c>
      <c r="G223" s="10">
        <v>0</v>
      </c>
      <c r="H223" s="10">
        <v>0</v>
      </c>
      <c r="I223" s="10">
        <v>0</v>
      </c>
      <c r="J223" s="10">
        <v>0</v>
      </c>
      <c r="K223" s="10">
        <v>4000</v>
      </c>
      <c r="L223" s="10">
        <v>4000</v>
      </c>
      <c r="M223" s="10">
        <v>4000</v>
      </c>
      <c r="N223" s="10">
        <v>4000</v>
      </c>
      <c r="O223" s="10">
        <v>0</v>
      </c>
      <c r="P223" s="10">
        <v>0</v>
      </c>
      <c r="Q223" s="1">
        <v>0</v>
      </c>
      <c r="R223" s="1">
        <v>0</v>
      </c>
      <c r="S223" s="1">
        <v>0</v>
      </c>
      <c r="T223" s="1">
        <v>0</v>
      </c>
      <c r="U223" s="1">
        <v>658400</v>
      </c>
      <c r="V223" s="1" t="s">
        <v>249</v>
      </c>
      <c r="W223" s="1" t="s">
        <v>33</v>
      </c>
      <c r="X223" t="s">
        <v>34</v>
      </c>
      <c r="Y223" s="16">
        <v>0</v>
      </c>
      <c r="Z223" s="16">
        <v>0</v>
      </c>
      <c r="AA223" s="15">
        <f t="shared" si="9"/>
        <v>0</v>
      </c>
      <c r="AC223" s="15">
        <f t="shared" si="10"/>
        <v>0</v>
      </c>
      <c r="AD223" s="15">
        <f t="shared" si="11"/>
        <v>0</v>
      </c>
    </row>
    <row r="224" spans="1:30" x14ac:dyDescent="0.2">
      <c r="A224" s="14">
        <v>1</v>
      </c>
      <c r="B224" s="11">
        <v>658800</v>
      </c>
      <c r="C224" s="11">
        <v>658800</v>
      </c>
      <c r="D224" s="11">
        <v>6</v>
      </c>
      <c r="E224" s="12"/>
      <c r="F224" s="13" t="s">
        <v>250</v>
      </c>
      <c r="G224" s="10">
        <v>0</v>
      </c>
      <c r="H224" s="10">
        <v>0</v>
      </c>
      <c r="I224" s="10">
        <v>0</v>
      </c>
      <c r="J224" s="10">
        <v>0</v>
      </c>
      <c r="K224" s="10">
        <v>1255.46</v>
      </c>
      <c r="L224" s="10">
        <v>1255.46</v>
      </c>
      <c r="M224" s="10">
        <v>1255.46</v>
      </c>
      <c r="N224" s="10">
        <v>1255.46</v>
      </c>
      <c r="O224" s="10">
        <v>0</v>
      </c>
      <c r="P224" s="10">
        <v>0</v>
      </c>
      <c r="Q224" s="1">
        <v>0</v>
      </c>
      <c r="R224" s="1">
        <v>0</v>
      </c>
      <c r="S224" s="1">
        <v>0</v>
      </c>
      <c r="T224" s="1">
        <v>0</v>
      </c>
      <c r="U224" s="1">
        <v>658800</v>
      </c>
      <c r="V224" s="1" t="s">
        <v>250</v>
      </c>
      <c r="W224" s="1" t="s">
        <v>33</v>
      </c>
      <c r="X224" t="s">
        <v>34</v>
      </c>
      <c r="Y224" s="16">
        <v>0</v>
      </c>
      <c r="Z224" s="16">
        <v>0</v>
      </c>
      <c r="AA224" s="15">
        <f t="shared" si="9"/>
        <v>0</v>
      </c>
      <c r="AC224" s="15">
        <f t="shared" si="10"/>
        <v>0</v>
      </c>
      <c r="AD224" s="15">
        <f t="shared" si="11"/>
        <v>0</v>
      </c>
    </row>
    <row r="225" spans="1:30" x14ac:dyDescent="0.2">
      <c r="A225" s="14">
        <v>1</v>
      </c>
      <c r="B225" s="11">
        <v>658801</v>
      </c>
      <c r="C225" s="11">
        <v>658801</v>
      </c>
      <c r="D225" s="11">
        <v>6</v>
      </c>
      <c r="E225" s="12"/>
      <c r="F225" s="13" t="s">
        <v>251</v>
      </c>
      <c r="G225" s="10">
        <v>0</v>
      </c>
      <c r="H225" s="10">
        <v>0</v>
      </c>
      <c r="I225" s="10">
        <v>0</v>
      </c>
      <c r="J225" s="10">
        <v>0</v>
      </c>
      <c r="K225" s="10">
        <v>2376.91</v>
      </c>
      <c r="L225" s="10">
        <v>2376.91</v>
      </c>
      <c r="M225" s="10">
        <v>2376.91</v>
      </c>
      <c r="N225" s="10">
        <v>2376.91</v>
      </c>
      <c r="O225" s="10">
        <v>0</v>
      </c>
      <c r="P225" s="10">
        <v>0</v>
      </c>
      <c r="Q225" s="1">
        <v>0</v>
      </c>
      <c r="R225" s="1">
        <v>0</v>
      </c>
      <c r="S225" s="1">
        <v>0</v>
      </c>
      <c r="T225" s="1">
        <v>0</v>
      </c>
      <c r="U225" s="1">
        <v>658801</v>
      </c>
      <c r="V225" s="1" t="s">
        <v>251</v>
      </c>
      <c r="W225" s="1" t="s">
        <v>33</v>
      </c>
      <c r="X225" t="s">
        <v>34</v>
      </c>
      <c r="Y225" s="16">
        <v>0</v>
      </c>
      <c r="Z225" s="16">
        <v>0</v>
      </c>
      <c r="AA225" s="15">
        <f t="shared" si="9"/>
        <v>0</v>
      </c>
      <c r="AC225" s="15">
        <f t="shared" si="10"/>
        <v>0</v>
      </c>
      <c r="AD225" s="15">
        <f t="shared" si="11"/>
        <v>0</v>
      </c>
    </row>
    <row r="226" spans="1:30" x14ac:dyDescent="0.2">
      <c r="A226" s="14">
        <v>1</v>
      </c>
      <c r="B226" s="11">
        <v>658804</v>
      </c>
      <c r="C226" s="11">
        <v>658804</v>
      </c>
      <c r="D226" s="11">
        <v>6</v>
      </c>
      <c r="E226" s="12"/>
      <c r="F226" s="13" t="s">
        <v>252</v>
      </c>
      <c r="G226" s="10">
        <v>0</v>
      </c>
      <c r="H226" s="10">
        <v>0</v>
      </c>
      <c r="I226" s="10">
        <v>0</v>
      </c>
      <c r="J226" s="10">
        <v>0</v>
      </c>
      <c r="K226" s="10">
        <v>80272</v>
      </c>
      <c r="L226" s="10">
        <v>80272</v>
      </c>
      <c r="M226" s="10">
        <v>80272</v>
      </c>
      <c r="N226" s="10">
        <v>80272</v>
      </c>
      <c r="O226" s="10">
        <v>0</v>
      </c>
      <c r="P226" s="10">
        <v>0</v>
      </c>
      <c r="Q226" s="1">
        <v>0</v>
      </c>
      <c r="R226" s="1">
        <v>0</v>
      </c>
      <c r="S226" s="1">
        <v>0</v>
      </c>
      <c r="T226" s="1">
        <v>0</v>
      </c>
      <c r="U226" s="1">
        <v>658804</v>
      </c>
      <c r="V226" s="1" t="s">
        <v>252</v>
      </c>
      <c r="W226" s="1" t="s">
        <v>33</v>
      </c>
      <c r="X226" t="s">
        <v>34</v>
      </c>
      <c r="Y226" s="16">
        <v>0</v>
      </c>
      <c r="Z226" s="16">
        <v>0</v>
      </c>
      <c r="AA226" s="15">
        <f t="shared" si="9"/>
        <v>0</v>
      </c>
      <c r="AC226" s="15">
        <f t="shared" si="10"/>
        <v>0</v>
      </c>
      <c r="AD226" s="15">
        <f t="shared" si="11"/>
        <v>0</v>
      </c>
    </row>
    <row r="227" spans="1:30" x14ac:dyDescent="0.2">
      <c r="A227" s="14">
        <v>1</v>
      </c>
      <c r="B227" s="11">
        <v>658890</v>
      </c>
      <c r="C227" s="11">
        <v>658890</v>
      </c>
      <c r="D227" s="11">
        <v>6</v>
      </c>
      <c r="E227" s="12"/>
      <c r="F227" s="13" t="s">
        <v>253</v>
      </c>
      <c r="G227" s="10">
        <v>0</v>
      </c>
      <c r="H227" s="10">
        <v>0</v>
      </c>
      <c r="I227" s="10">
        <v>0</v>
      </c>
      <c r="J227" s="10">
        <v>0</v>
      </c>
      <c r="K227" s="10">
        <v>32.07</v>
      </c>
      <c r="L227" s="10">
        <v>32.07</v>
      </c>
      <c r="M227" s="10">
        <v>32.07</v>
      </c>
      <c r="N227" s="10">
        <v>32.07</v>
      </c>
      <c r="O227" s="10">
        <v>0</v>
      </c>
      <c r="P227" s="10">
        <v>0</v>
      </c>
      <c r="Q227" s="1">
        <v>0</v>
      </c>
      <c r="R227" s="1">
        <v>0</v>
      </c>
      <c r="S227" s="1">
        <v>0</v>
      </c>
      <c r="T227" s="1">
        <v>0</v>
      </c>
      <c r="U227" s="1">
        <v>658890</v>
      </c>
      <c r="V227" s="1" t="s">
        <v>253</v>
      </c>
      <c r="W227" s="1" t="s">
        <v>33</v>
      </c>
      <c r="X227" t="s">
        <v>34</v>
      </c>
      <c r="Y227" s="16">
        <v>0</v>
      </c>
      <c r="Z227" s="16">
        <v>0</v>
      </c>
      <c r="AA227" s="15">
        <f t="shared" si="9"/>
        <v>0</v>
      </c>
      <c r="AC227" s="15">
        <f t="shared" si="10"/>
        <v>0</v>
      </c>
      <c r="AD227" s="15">
        <f t="shared" si="11"/>
        <v>0</v>
      </c>
    </row>
    <row r="228" spans="1:30" x14ac:dyDescent="0.2">
      <c r="A228" s="14">
        <v>1</v>
      </c>
      <c r="B228" s="11">
        <v>665000</v>
      </c>
      <c r="C228" s="11">
        <v>665000</v>
      </c>
      <c r="D228" s="11">
        <v>6</v>
      </c>
      <c r="E228" s="12"/>
      <c r="F228" s="13" t="s">
        <v>254</v>
      </c>
      <c r="G228" s="10">
        <v>0</v>
      </c>
      <c r="H228" s="10">
        <v>0</v>
      </c>
      <c r="I228" s="10">
        <v>0</v>
      </c>
      <c r="J228" s="10">
        <v>0</v>
      </c>
      <c r="K228" s="10">
        <v>104765.68</v>
      </c>
      <c r="L228" s="10">
        <v>104765.68</v>
      </c>
      <c r="M228" s="10">
        <v>104765.68</v>
      </c>
      <c r="N228" s="10">
        <v>104765.68</v>
      </c>
      <c r="O228" s="10">
        <v>0</v>
      </c>
      <c r="P228" s="10">
        <v>0</v>
      </c>
      <c r="Q228" s="1">
        <v>0</v>
      </c>
      <c r="R228" s="1">
        <v>0</v>
      </c>
      <c r="S228" s="1">
        <v>0</v>
      </c>
      <c r="T228" s="1">
        <v>0</v>
      </c>
      <c r="U228" s="1">
        <v>665000</v>
      </c>
      <c r="V228" s="1" t="s">
        <v>254</v>
      </c>
      <c r="W228" s="1" t="s">
        <v>33</v>
      </c>
      <c r="X228" t="s">
        <v>34</v>
      </c>
      <c r="Y228" s="16">
        <v>0</v>
      </c>
      <c r="Z228" s="16">
        <v>0</v>
      </c>
      <c r="AA228" s="15">
        <f t="shared" si="9"/>
        <v>0</v>
      </c>
      <c r="AC228" s="15">
        <f t="shared" si="10"/>
        <v>0</v>
      </c>
      <c r="AD228" s="15">
        <f t="shared" si="11"/>
        <v>0</v>
      </c>
    </row>
    <row r="229" spans="1:30" x14ac:dyDescent="0.2">
      <c r="A229" s="14">
        <v>1</v>
      </c>
      <c r="B229" s="11">
        <v>665101</v>
      </c>
      <c r="C229" s="11">
        <v>665101</v>
      </c>
      <c r="D229" s="11">
        <v>6</v>
      </c>
      <c r="E229" s="12"/>
      <c r="F229" s="13" t="s">
        <v>255</v>
      </c>
      <c r="G229" s="10">
        <v>0</v>
      </c>
      <c r="H229" s="10">
        <v>0</v>
      </c>
      <c r="I229" s="10">
        <v>0</v>
      </c>
      <c r="J229" s="10">
        <v>0</v>
      </c>
      <c r="K229" s="10">
        <v>70903.27</v>
      </c>
      <c r="L229" s="10">
        <v>70903.27</v>
      </c>
      <c r="M229" s="10">
        <v>70903.27</v>
      </c>
      <c r="N229" s="10">
        <v>70903.27</v>
      </c>
      <c r="O229" s="10">
        <v>0</v>
      </c>
      <c r="P229" s="10">
        <v>0</v>
      </c>
      <c r="Q229" s="1">
        <v>0</v>
      </c>
      <c r="R229" s="1">
        <v>0</v>
      </c>
      <c r="S229" s="1">
        <v>0</v>
      </c>
      <c r="T229" s="1">
        <v>0</v>
      </c>
      <c r="U229" s="1">
        <v>665101</v>
      </c>
      <c r="V229" s="1" t="s">
        <v>255</v>
      </c>
      <c r="W229" s="1" t="s">
        <v>33</v>
      </c>
      <c r="X229" t="s">
        <v>34</v>
      </c>
      <c r="Y229" s="16">
        <v>0</v>
      </c>
      <c r="Z229" s="16">
        <v>0</v>
      </c>
      <c r="AA229" s="15">
        <f t="shared" si="9"/>
        <v>0</v>
      </c>
      <c r="AC229" s="15">
        <f t="shared" si="10"/>
        <v>0</v>
      </c>
      <c r="AD229" s="15">
        <f t="shared" si="11"/>
        <v>0</v>
      </c>
    </row>
    <row r="230" spans="1:30" x14ac:dyDescent="0.2">
      <c r="A230" s="14">
        <v>1</v>
      </c>
      <c r="B230" s="11">
        <v>666900</v>
      </c>
      <c r="C230" s="11">
        <v>666900</v>
      </c>
      <c r="D230" s="11">
        <v>6</v>
      </c>
      <c r="E230" s="12"/>
      <c r="F230" s="13" t="s">
        <v>256</v>
      </c>
      <c r="G230" s="10">
        <v>0</v>
      </c>
      <c r="H230" s="10">
        <v>0</v>
      </c>
      <c r="I230" s="10">
        <v>0</v>
      </c>
      <c r="J230" s="10">
        <v>0</v>
      </c>
      <c r="K230" s="10">
        <v>87715.73</v>
      </c>
      <c r="L230" s="10">
        <v>87715.73</v>
      </c>
      <c r="M230" s="10">
        <v>87715.73</v>
      </c>
      <c r="N230" s="10">
        <v>87715.73</v>
      </c>
      <c r="O230" s="10">
        <v>0</v>
      </c>
      <c r="P230" s="10">
        <v>0</v>
      </c>
      <c r="Q230" s="1">
        <v>0</v>
      </c>
      <c r="R230" s="1">
        <v>0</v>
      </c>
      <c r="S230" s="1">
        <v>0</v>
      </c>
      <c r="T230" s="1">
        <v>0</v>
      </c>
      <c r="U230" s="1">
        <v>666900</v>
      </c>
      <c r="V230" s="1" t="s">
        <v>256</v>
      </c>
      <c r="W230" s="1" t="s">
        <v>33</v>
      </c>
      <c r="X230" t="s">
        <v>34</v>
      </c>
      <c r="Y230" s="16">
        <v>0</v>
      </c>
      <c r="Z230" s="16">
        <v>0</v>
      </c>
      <c r="AA230" s="15">
        <f t="shared" si="9"/>
        <v>0</v>
      </c>
      <c r="AC230" s="15">
        <f t="shared" si="10"/>
        <v>0</v>
      </c>
      <c r="AD230" s="15">
        <f t="shared" si="11"/>
        <v>0</v>
      </c>
    </row>
    <row r="231" spans="1:30" x14ac:dyDescent="0.2">
      <c r="A231" s="14">
        <v>1</v>
      </c>
      <c r="B231" s="11">
        <v>666905</v>
      </c>
      <c r="C231" s="11">
        <v>666905</v>
      </c>
      <c r="D231" s="11">
        <v>6</v>
      </c>
      <c r="E231" s="12"/>
      <c r="F231" s="13" t="s">
        <v>257</v>
      </c>
      <c r="G231" s="10">
        <v>0</v>
      </c>
      <c r="H231" s="10">
        <v>0</v>
      </c>
      <c r="I231" s="10">
        <v>0</v>
      </c>
      <c r="J231" s="10">
        <v>0</v>
      </c>
      <c r="K231" s="10">
        <v>4548.49</v>
      </c>
      <c r="L231" s="10">
        <v>4548.49</v>
      </c>
      <c r="M231" s="10">
        <v>4548.49</v>
      </c>
      <c r="N231" s="10">
        <v>4548.49</v>
      </c>
      <c r="O231" s="10">
        <v>0</v>
      </c>
      <c r="P231" s="10">
        <v>0</v>
      </c>
      <c r="Q231" s="1">
        <v>0</v>
      </c>
      <c r="R231" s="1">
        <v>0</v>
      </c>
      <c r="S231" s="1">
        <v>0</v>
      </c>
      <c r="T231" s="1">
        <v>0</v>
      </c>
      <c r="U231" s="1">
        <v>666905</v>
      </c>
      <c r="V231" s="1" t="s">
        <v>257</v>
      </c>
      <c r="W231" s="1" t="s">
        <v>33</v>
      </c>
      <c r="X231" t="s">
        <v>34</v>
      </c>
      <c r="Y231" s="16">
        <v>0</v>
      </c>
      <c r="Z231" s="16">
        <v>0</v>
      </c>
      <c r="AA231" s="15">
        <f t="shared" si="9"/>
        <v>0</v>
      </c>
      <c r="AC231" s="15">
        <f t="shared" si="10"/>
        <v>0</v>
      </c>
      <c r="AD231" s="15">
        <f t="shared" si="11"/>
        <v>0</v>
      </c>
    </row>
    <row r="232" spans="1:30" x14ac:dyDescent="0.2">
      <c r="A232" s="14">
        <v>1</v>
      </c>
      <c r="B232" s="11">
        <v>681100</v>
      </c>
      <c r="C232" s="11">
        <v>681100</v>
      </c>
      <c r="D232" s="11">
        <v>6</v>
      </c>
      <c r="E232" s="12"/>
      <c r="F232" s="13" t="s">
        <v>258</v>
      </c>
      <c r="G232" s="10">
        <v>0</v>
      </c>
      <c r="H232" s="10">
        <v>0</v>
      </c>
      <c r="I232" s="10">
        <v>0</v>
      </c>
      <c r="J232" s="10">
        <v>0</v>
      </c>
      <c r="K232" s="10">
        <v>14727.57</v>
      </c>
      <c r="L232" s="10">
        <v>14727.57</v>
      </c>
      <c r="M232" s="10">
        <v>14727.57</v>
      </c>
      <c r="N232" s="10">
        <v>14727.57</v>
      </c>
      <c r="O232" s="10">
        <v>0</v>
      </c>
      <c r="P232" s="10">
        <v>0</v>
      </c>
      <c r="Q232" s="1">
        <v>0</v>
      </c>
      <c r="R232" s="1">
        <v>0</v>
      </c>
      <c r="S232" s="1">
        <v>0</v>
      </c>
      <c r="T232" s="1">
        <v>0</v>
      </c>
      <c r="U232" s="1">
        <v>681100</v>
      </c>
      <c r="V232" s="1" t="s">
        <v>258</v>
      </c>
      <c r="W232" s="1" t="s">
        <v>33</v>
      </c>
      <c r="X232" t="s">
        <v>34</v>
      </c>
      <c r="Y232" s="16">
        <v>0</v>
      </c>
      <c r="Z232" s="16">
        <v>0</v>
      </c>
      <c r="AA232" s="15">
        <f t="shared" si="9"/>
        <v>0</v>
      </c>
      <c r="AC232" s="15">
        <f t="shared" si="10"/>
        <v>0</v>
      </c>
      <c r="AD232" s="15">
        <f t="shared" si="11"/>
        <v>0</v>
      </c>
    </row>
    <row r="233" spans="1:30" x14ac:dyDescent="0.2">
      <c r="A233" s="14">
        <v>1</v>
      </c>
      <c r="B233" s="11">
        <v>6811100</v>
      </c>
      <c r="C233" s="11">
        <v>6811100</v>
      </c>
      <c r="D233" s="11">
        <v>6</v>
      </c>
      <c r="E233" s="12"/>
      <c r="F233" s="13" t="s">
        <v>259</v>
      </c>
      <c r="G233" s="10">
        <v>0</v>
      </c>
      <c r="H233" s="10">
        <v>0</v>
      </c>
      <c r="I233" s="10">
        <v>0</v>
      </c>
      <c r="J233" s="10">
        <v>0</v>
      </c>
      <c r="K233" s="10">
        <v>320671.37</v>
      </c>
      <c r="L233" s="10">
        <v>320671.37</v>
      </c>
      <c r="M233" s="10">
        <v>320671.37</v>
      </c>
      <c r="N233" s="10">
        <v>320671.37</v>
      </c>
      <c r="O233" s="10">
        <v>0</v>
      </c>
      <c r="P233" s="10">
        <v>0</v>
      </c>
      <c r="Q233" s="1">
        <v>0</v>
      </c>
      <c r="R233" s="1">
        <v>0</v>
      </c>
      <c r="S233" s="1">
        <v>0</v>
      </c>
      <c r="T233" s="1">
        <v>0</v>
      </c>
      <c r="U233" s="1">
        <v>6811100</v>
      </c>
      <c r="V233" s="1" t="s">
        <v>259</v>
      </c>
      <c r="W233" s="1" t="s">
        <v>33</v>
      </c>
      <c r="X233" t="s">
        <v>34</v>
      </c>
      <c r="Y233" s="16">
        <v>0</v>
      </c>
      <c r="Z233" s="16">
        <v>0</v>
      </c>
      <c r="AA233" s="15">
        <f t="shared" si="9"/>
        <v>0</v>
      </c>
      <c r="AC233" s="15">
        <f t="shared" si="10"/>
        <v>0</v>
      </c>
      <c r="AD233" s="15">
        <f t="shared" si="11"/>
        <v>0</v>
      </c>
    </row>
    <row r="234" spans="1:30" x14ac:dyDescent="0.2">
      <c r="A234" s="14">
        <v>1</v>
      </c>
      <c r="B234" s="11">
        <v>681130</v>
      </c>
      <c r="C234" s="11">
        <v>681130</v>
      </c>
      <c r="D234" s="11">
        <v>6</v>
      </c>
      <c r="E234" s="12"/>
      <c r="F234" s="13" t="s">
        <v>260</v>
      </c>
      <c r="G234" s="10">
        <v>0</v>
      </c>
      <c r="H234" s="10">
        <v>0</v>
      </c>
      <c r="I234" s="10">
        <v>0</v>
      </c>
      <c r="J234" s="10">
        <v>0</v>
      </c>
      <c r="K234" s="10">
        <v>43493.67</v>
      </c>
      <c r="L234" s="10">
        <v>43493.67</v>
      </c>
      <c r="M234" s="10">
        <v>43493.67</v>
      </c>
      <c r="N234" s="10">
        <v>43493.67</v>
      </c>
      <c r="O234" s="10">
        <v>0</v>
      </c>
      <c r="P234" s="10">
        <v>0</v>
      </c>
      <c r="Q234" s="1">
        <v>0</v>
      </c>
      <c r="R234" s="1">
        <v>0</v>
      </c>
      <c r="S234" s="1">
        <v>0</v>
      </c>
      <c r="T234" s="1">
        <v>0</v>
      </c>
      <c r="U234" s="1">
        <v>681130</v>
      </c>
      <c r="V234" s="1" t="s">
        <v>260</v>
      </c>
      <c r="W234" s="1" t="s">
        <v>33</v>
      </c>
      <c r="X234" t="s">
        <v>34</v>
      </c>
      <c r="Y234" s="16">
        <v>0</v>
      </c>
      <c r="Z234" s="16">
        <v>0</v>
      </c>
      <c r="AA234" s="15">
        <f t="shared" si="9"/>
        <v>0</v>
      </c>
      <c r="AC234" s="15">
        <f t="shared" si="10"/>
        <v>0</v>
      </c>
      <c r="AD234" s="15">
        <f t="shared" si="11"/>
        <v>0</v>
      </c>
    </row>
    <row r="235" spans="1:30" x14ac:dyDescent="0.2">
      <c r="A235" s="14">
        <v>1</v>
      </c>
      <c r="B235" s="11">
        <v>681140</v>
      </c>
      <c r="C235" s="11">
        <v>681140</v>
      </c>
      <c r="D235" s="11">
        <v>6</v>
      </c>
      <c r="E235" s="12"/>
      <c r="F235" s="13" t="s">
        <v>261</v>
      </c>
      <c r="G235" s="10">
        <v>0</v>
      </c>
      <c r="H235" s="10">
        <v>0</v>
      </c>
      <c r="I235" s="10">
        <v>0</v>
      </c>
      <c r="J235" s="10">
        <v>0</v>
      </c>
      <c r="K235" s="10">
        <v>12946.67</v>
      </c>
      <c r="L235" s="10">
        <v>12946.67</v>
      </c>
      <c r="M235" s="10">
        <v>12946.67</v>
      </c>
      <c r="N235" s="10">
        <v>12946.67</v>
      </c>
      <c r="O235" s="10">
        <v>0</v>
      </c>
      <c r="P235" s="10">
        <v>0</v>
      </c>
      <c r="Q235" s="1">
        <v>0</v>
      </c>
      <c r="R235" s="1">
        <v>0</v>
      </c>
      <c r="S235" s="1">
        <v>0</v>
      </c>
      <c r="T235" s="1">
        <v>0</v>
      </c>
      <c r="U235" s="1">
        <v>681140</v>
      </c>
      <c r="V235" s="1" t="s">
        <v>261</v>
      </c>
      <c r="W235" s="1" t="s">
        <v>33</v>
      </c>
      <c r="X235" t="s">
        <v>34</v>
      </c>
      <c r="Y235" s="16">
        <v>0</v>
      </c>
      <c r="Z235" s="16">
        <v>0</v>
      </c>
      <c r="AA235" s="15">
        <f t="shared" si="9"/>
        <v>0</v>
      </c>
      <c r="AC235" s="15">
        <f t="shared" si="10"/>
        <v>0</v>
      </c>
      <c r="AD235" s="15">
        <f t="shared" si="11"/>
        <v>0</v>
      </c>
    </row>
    <row r="236" spans="1:30" x14ac:dyDescent="0.2">
      <c r="A236" s="14">
        <v>1</v>
      </c>
      <c r="B236" s="11">
        <v>681201</v>
      </c>
      <c r="C236" s="11">
        <v>681201</v>
      </c>
      <c r="D236" s="11">
        <v>6</v>
      </c>
      <c r="E236" s="12"/>
      <c r="F236" s="13" t="s">
        <v>262</v>
      </c>
      <c r="G236" s="10">
        <v>0</v>
      </c>
      <c r="H236" s="10">
        <v>0</v>
      </c>
      <c r="I236" s="10">
        <v>0</v>
      </c>
      <c r="J236" s="10">
        <v>0</v>
      </c>
      <c r="K236" s="10">
        <v>237000</v>
      </c>
      <c r="L236" s="10">
        <v>237000</v>
      </c>
      <c r="M236" s="10">
        <v>237000</v>
      </c>
      <c r="N236" s="10">
        <v>237000</v>
      </c>
      <c r="O236" s="10">
        <v>0</v>
      </c>
      <c r="P236" s="10">
        <v>0</v>
      </c>
      <c r="Q236" s="1">
        <v>0</v>
      </c>
      <c r="R236" s="1">
        <v>0</v>
      </c>
      <c r="S236" s="1">
        <v>0</v>
      </c>
      <c r="T236" s="1">
        <v>0</v>
      </c>
      <c r="U236" s="1">
        <v>681201</v>
      </c>
      <c r="V236" s="1" t="s">
        <v>262</v>
      </c>
      <c r="W236" s="1" t="s">
        <v>33</v>
      </c>
      <c r="X236" t="s">
        <v>34</v>
      </c>
      <c r="Y236" s="16">
        <v>0</v>
      </c>
      <c r="Z236" s="16">
        <v>0</v>
      </c>
      <c r="AA236" s="15">
        <f t="shared" si="9"/>
        <v>0</v>
      </c>
      <c r="AC236" s="15">
        <f t="shared" si="10"/>
        <v>0</v>
      </c>
      <c r="AD236" s="15">
        <f t="shared" si="11"/>
        <v>0</v>
      </c>
    </row>
    <row r="237" spans="1:30" x14ac:dyDescent="0.2">
      <c r="A237" s="14">
        <v>1</v>
      </c>
      <c r="B237" s="11">
        <v>681400</v>
      </c>
      <c r="C237" s="11">
        <v>681400</v>
      </c>
      <c r="D237" s="11">
        <v>6</v>
      </c>
      <c r="E237" s="12"/>
      <c r="F237" s="13" t="s">
        <v>263</v>
      </c>
      <c r="G237" s="10">
        <v>0</v>
      </c>
      <c r="H237" s="10">
        <v>0</v>
      </c>
      <c r="I237" s="10">
        <v>0</v>
      </c>
      <c r="J237" s="10">
        <v>0</v>
      </c>
      <c r="K237" s="10">
        <v>583808.06999999995</v>
      </c>
      <c r="L237" s="10">
        <v>583808.06999999995</v>
      </c>
      <c r="M237" s="10">
        <v>583808.06999999995</v>
      </c>
      <c r="N237" s="10">
        <v>583808.06999999995</v>
      </c>
      <c r="O237" s="10">
        <v>0</v>
      </c>
      <c r="P237" s="10">
        <v>0</v>
      </c>
      <c r="Q237" s="1">
        <v>0</v>
      </c>
      <c r="R237" s="1">
        <v>0</v>
      </c>
      <c r="S237" s="1">
        <v>0</v>
      </c>
      <c r="T237" s="1">
        <v>0</v>
      </c>
      <c r="U237" s="1">
        <v>681400</v>
      </c>
      <c r="V237" s="1" t="s">
        <v>263</v>
      </c>
      <c r="W237" s="1" t="s">
        <v>33</v>
      </c>
      <c r="X237" t="s">
        <v>34</v>
      </c>
      <c r="Y237" s="16">
        <v>0</v>
      </c>
      <c r="Z237" s="16">
        <v>0</v>
      </c>
      <c r="AA237" s="15">
        <f t="shared" si="9"/>
        <v>0</v>
      </c>
      <c r="AC237" s="15">
        <f t="shared" si="10"/>
        <v>0</v>
      </c>
      <c r="AD237" s="15">
        <f t="shared" si="11"/>
        <v>0</v>
      </c>
    </row>
    <row r="238" spans="1:30" x14ac:dyDescent="0.2">
      <c r="A238" s="14">
        <v>1</v>
      </c>
      <c r="B238" s="11">
        <v>706010</v>
      </c>
      <c r="C238" s="11">
        <v>706010</v>
      </c>
      <c r="D238" s="11">
        <v>7</v>
      </c>
      <c r="E238" s="12"/>
      <c r="F238" s="13" t="s">
        <v>264</v>
      </c>
      <c r="G238" s="10">
        <v>0</v>
      </c>
      <c r="H238" s="10">
        <v>0</v>
      </c>
      <c r="I238" s="10">
        <v>0</v>
      </c>
      <c r="J238" s="10">
        <v>0</v>
      </c>
      <c r="K238" s="10">
        <v>994437.88</v>
      </c>
      <c r="L238" s="10">
        <v>994437.88</v>
      </c>
      <c r="M238" s="10">
        <v>994437.88</v>
      </c>
      <c r="N238" s="10">
        <v>994437.88</v>
      </c>
      <c r="O238" s="10">
        <v>0</v>
      </c>
      <c r="P238" s="10">
        <v>0</v>
      </c>
      <c r="Q238" s="1">
        <v>0</v>
      </c>
      <c r="R238" s="1">
        <v>0</v>
      </c>
      <c r="S238" s="1">
        <v>0</v>
      </c>
      <c r="T238" s="1">
        <v>0</v>
      </c>
      <c r="U238" s="1">
        <v>706010</v>
      </c>
      <c r="V238" s="1" t="s">
        <v>264</v>
      </c>
      <c r="W238" s="1" t="s">
        <v>33</v>
      </c>
      <c r="X238" t="s">
        <v>34</v>
      </c>
      <c r="Y238" s="16">
        <v>0</v>
      </c>
      <c r="Z238" s="16">
        <v>0</v>
      </c>
      <c r="AA238" s="15">
        <f t="shared" si="9"/>
        <v>0</v>
      </c>
      <c r="AC238" s="15">
        <f t="shared" si="10"/>
        <v>0</v>
      </c>
      <c r="AD238" s="15">
        <f t="shared" si="11"/>
        <v>0</v>
      </c>
    </row>
    <row r="239" spans="1:30" x14ac:dyDescent="0.2">
      <c r="A239" s="14">
        <v>1</v>
      </c>
      <c r="B239" s="11">
        <v>706012</v>
      </c>
      <c r="C239" s="11">
        <v>706012</v>
      </c>
      <c r="D239" s="11">
        <v>7</v>
      </c>
      <c r="E239" s="12"/>
      <c r="F239" s="13" t="s">
        <v>265</v>
      </c>
      <c r="G239" s="10">
        <v>0</v>
      </c>
      <c r="H239" s="10">
        <v>0</v>
      </c>
      <c r="I239" s="10">
        <v>0</v>
      </c>
      <c r="J239" s="10">
        <v>0</v>
      </c>
      <c r="K239" s="10">
        <v>259193</v>
      </c>
      <c r="L239" s="10">
        <v>259193</v>
      </c>
      <c r="M239" s="10">
        <v>259193</v>
      </c>
      <c r="N239" s="10">
        <v>259193</v>
      </c>
      <c r="O239" s="10">
        <v>0</v>
      </c>
      <c r="P239" s="10">
        <v>0</v>
      </c>
      <c r="Q239" s="1">
        <v>0</v>
      </c>
      <c r="R239" s="1">
        <v>0</v>
      </c>
      <c r="S239" s="1">
        <v>0</v>
      </c>
      <c r="T239" s="1">
        <v>0</v>
      </c>
      <c r="U239" s="1">
        <v>706012</v>
      </c>
      <c r="V239" s="1" t="s">
        <v>265</v>
      </c>
      <c r="W239" s="1" t="s">
        <v>33</v>
      </c>
      <c r="X239" t="s">
        <v>34</v>
      </c>
      <c r="Y239" s="16">
        <v>0</v>
      </c>
      <c r="Z239" s="16">
        <v>0</v>
      </c>
      <c r="AA239" s="15">
        <f t="shared" si="9"/>
        <v>0</v>
      </c>
      <c r="AC239" s="15">
        <f t="shared" si="10"/>
        <v>0</v>
      </c>
      <c r="AD239" s="15">
        <f t="shared" si="11"/>
        <v>0</v>
      </c>
    </row>
    <row r="240" spans="1:30" x14ac:dyDescent="0.2">
      <c r="A240" s="14">
        <v>1</v>
      </c>
      <c r="B240" s="11">
        <v>706020</v>
      </c>
      <c r="C240" s="11">
        <v>706020</v>
      </c>
      <c r="D240" s="11">
        <v>7</v>
      </c>
      <c r="E240" s="12"/>
      <c r="F240" s="13" t="s">
        <v>266</v>
      </c>
      <c r="G240" s="10">
        <v>0</v>
      </c>
      <c r="H240" s="10">
        <v>0</v>
      </c>
      <c r="I240" s="10">
        <v>0</v>
      </c>
      <c r="J240" s="10">
        <v>0</v>
      </c>
      <c r="K240" s="10">
        <v>0</v>
      </c>
      <c r="L240" s="10">
        <v>0</v>
      </c>
      <c r="M240" s="10">
        <v>0</v>
      </c>
      <c r="N240" s="10">
        <v>0</v>
      </c>
      <c r="O240" s="10">
        <v>0</v>
      </c>
      <c r="P240" s="10">
        <v>0</v>
      </c>
      <c r="Q240" s="1">
        <v>0</v>
      </c>
      <c r="R240" s="1">
        <v>0</v>
      </c>
      <c r="S240" s="1">
        <v>0</v>
      </c>
      <c r="T240" s="1">
        <v>0</v>
      </c>
      <c r="U240" s="1">
        <v>706020</v>
      </c>
      <c r="V240" s="1" t="s">
        <v>266</v>
      </c>
      <c r="W240" s="1" t="s">
        <v>33</v>
      </c>
      <c r="X240" t="s">
        <v>34</v>
      </c>
      <c r="Y240" s="16">
        <v>0</v>
      </c>
      <c r="Z240" s="16">
        <v>0</v>
      </c>
      <c r="AA240" s="15">
        <f t="shared" si="9"/>
        <v>0</v>
      </c>
      <c r="AC240" s="15">
        <f t="shared" si="10"/>
        <v>0</v>
      </c>
      <c r="AD240" s="15">
        <f t="shared" si="11"/>
        <v>0</v>
      </c>
    </row>
    <row r="241" spans="1:30" x14ac:dyDescent="0.2">
      <c r="A241" s="14">
        <v>1</v>
      </c>
      <c r="B241" s="11">
        <v>707200</v>
      </c>
      <c r="C241" s="11">
        <v>707200</v>
      </c>
      <c r="D241" s="11">
        <v>7</v>
      </c>
      <c r="E241" s="12"/>
      <c r="F241" s="13" t="s">
        <v>267</v>
      </c>
      <c r="G241" s="10">
        <v>0</v>
      </c>
      <c r="H241" s="10">
        <v>0</v>
      </c>
      <c r="I241" s="10">
        <v>0</v>
      </c>
      <c r="J241" s="10">
        <v>0</v>
      </c>
      <c r="K241" s="10">
        <v>35618666.82</v>
      </c>
      <c r="L241" s="10">
        <v>35618666.82</v>
      </c>
      <c r="M241" s="10">
        <v>35618666.82</v>
      </c>
      <c r="N241" s="10">
        <v>35618666.82</v>
      </c>
      <c r="O241" s="10">
        <v>0</v>
      </c>
      <c r="P241" s="10">
        <v>0</v>
      </c>
      <c r="Q241" s="1">
        <v>0</v>
      </c>
      <c r="R241" s="1">
        <v>0</v>
      </c>
      <c r="S241" s="1">
        <v>0</v>
      </c>
      <c r="T241" s="1">
        <v>0</v>
      </c>
      <c r="U241" s="1">
        <v>707200</v>
      </c>
      <c r="V241" s="1" t="s">
        <v>267</v>
      </c>
      <c r="W241" s="1" t="s">
        <v>33</v>
      </c>
      <c r="X241" t="s">
        <v>34</v>
      </c>
      <c r="Y241" s="16">
        <v>0</v>
      </c>
      <c r="Z241" s="16">
        <v>0</v>
      </c>
      <c r="AA241" s="15">
        <f t="shared" si="9"/>
        <v>0</v>
      </c>
      <c r="AC241" s="15">
        <f t="shared" si="10"/>
        <v>0</v>
      </c>
      <c r="AD241" s="15">
        <f t="shared" si="11"/>
        <v>0</v>
      </c>
    </row>
    <row r="242" spans="1:30" x14ac:dyDescent="0.2">
      <c r="A242" s="14">
        <v>1</v>
      </c>
      <c r="B242" s="11">
        <v>707201</v>
      </c>
      <c r="C242" s="11">
        <v>707201</v>
      </c>
      <c r="D242" s="11">
        <v>7</v>
      </c>
      <c r="E242" s="12"/>
      <c r="F242" s="13" t="s">
        <v>268</v>
      </c>
      <c r="G242" s="10">
        <v>0</v>
      </c>
      <c r="H242" s="10">
        <v>0</v>
      </c>
      <c r="I242" s="10">
        <v>0</v>
      </c>
      <c r="J242" s="10">
        <v>0</v>
      </c>
      <c r="K242" s="10">
        <v>6928201.4299999997</v>
      </c>
      <c r="L242" s="10">
        <v>6928201.4299999997</v>
      </c>
      <c r="M242" s="10">
        <v>6928201.4299999997</v>
      </c>
      <c r="N242" s="10">
        <v>6928201.4299999997</v>
      </c>
      <c r="O242" s="10">
        <v>0</v>
      </c>
      <c r="P242" s="10">
        <v>0</v>
      </c>
      <c r="Q242" s="1">
        <v>0</v>
      </c>
      <c r="R242" s="1">
        <v>0</v>
      </c>
      <c r="S242" s="1">
        <v>0</v>
      </c>
      <c r="T242" s="1">
        <v>0</v>
      </c>
      <c r="U242" s="1">
        <v>707201</v>
      </c>
      <c r="V242" s="1" t="s">
        <v>268</v>
      </c>
      <c r="W242" s="1" t="s">
        <v>33</v>
      </c>
      <c r="X242" t="s">
        <v>34</v>
      </c>
      <c r="Y242" s="16">
        <v>0</v>
      </c>
      <c r="Z242" s="16">
        <v>0</v>
      </c>
      <c r="AA242" s="15">
        <f t="shared" si="9"/>
        <v>0</v>
      </c>
      <c r="AC242" s="15">
        <f t="shared" si="10"/>
        <v>0</v>
      </c>
      <c r="AD242" s="15">
        <f t="shared" si="11"/>
        <v>0</v>
      </c>
    </row>
    <row r="243" spans="1:30" x14ac:dyDescent="0.2">
      <c r="A243" s="14">
        <v>1</v>
      </c>
      <c r="B243" s="11">
        <v>707203</v>
      </c>
      <c r="C243" s="11">
        <v>707203</v>
      </c>
      <c r="D243" s="11">
        <v>7</v>
      </c>
      <c r="E243" s="12"/>
      <c r="F243" s="13" t="s">
        <v>269</v>
      </c>
      <c r="G243" s="10">
        <v>0</v>
      </c>
      <c r="H243" s="10">
        <v>0</v>
      </c>
      <c r="I243" s="10">
        <v>0</v>
      </c>
      <c r="J243" s="10">
        <v>0</v>
      </c>
      <c r="K243" s="10">
        <v>667354.49</v>
      </c>
      <c r="L243" s="10">
        <v>667354.49</v>
      </c>
      <c r="M243" s="10">
        <v>667354.49</v>
      </c>
      <c r="N243" s="10">
        <v>667354.49</v>
      </c>
      <c r="O243" s="10">
        <v>0</v>
      </c>
      <c r="P243" s="10">
        <v>0</v>
      </c>
      <c r="Q243" s="1">
        <v>0</v>
      </c>
      <c r="R243" s="1">
        <v>0</v>
      </c>
      <c r="S243" s="1">
        <v>0</v>
      </c>
      <c r="T243" s="1">
        <v>0</v>
      </c>
      <c r="U243" s="1">
        <v>707203</v>
      </c>
      <c r="V243" s="1" t="s">
        <v>269</v>
      </c>
      <c r="W243" s="1" t="s">
        <v>33</v>
      </c>
      <c r="X243" t="s">
        <v>34</v>
      </c>
      <c r="Y243" s="16">
        <v>0</v>
      </c>
      <c r="Z243" s="16">
        <v>0</v>
      </c>
      <c r="AA243" s="15">
        <f t="shared" si="9"/>
        <v>0</v>
      </c>
      <c r="AC243" s="15">
        <f t="shared" si="10"/>
        <v>0</v>
      </c>
      <c r="AD243" s="15">
        <f t="shared" si="11"/>
        <v>0</v>
      </c>
    </row>
    <row r="244" spans="1:30" x14ac:dyDescent="0.2">
      <c r="A244" s="14">
        <v>1</v>
      </c>
      <c r="B244" s="11">
        <v>707212</v>
      </c>
      <c r="C244" s="11">
        <v>707212</v>
      </c>
      <c r="D244" s="11">
        <v>7</v>
      </c>
      <c r="E244" s="12"/>
      <c r="F244" s="13" t="s">
        <v>270</v>
      </c>
      <c r="G244" s="10">
        <v>0</v>
      </c>
      <c r="H244" s="10">
        <v>0</v>
      </c>
      <c r="I244" s="10">
        <v>0</v>
      </c>
      <c r="J244" s="10">
        <v>0</v>
      </c>
      <c r="K244" s="10">
        <v>0</v>
      </c>
      <c r="L244" s="10">
        <v>0</v>
      </c>
      <c r="M244" s="10">
        <v>0</v>
      </c>
      <c r="N244" s="10">
        <v>0</v>
      </c>
      <c r="O244" s="10">
        <v>0</v>
      </c>
      <c r="P244" s="10">
        <v>0</v>
      </c>
      <c r="Q244" s="1">
        <v>0</v>
      </c>
      <c r="R244" s="1">
        <v>0</v>
      </c>
      <c r="S244" s="1">
        <v>0</v>
      </c>
      <c r="T244" s="1">
        <v>0</v>
      </c>
      <c r="U244" s="1">
        <v>707212</v>
      </c>
      <c r="V244" s="1" t="s">
        <v>270</v>
      </c>
      <c r="W244" s="1" t="s">
        <v>33</v>
      </c>
      <c r="X244" t="s">
        <v>34</v>
      </c>
      <c r="Y244" s="16">
        <v>0</v>
      </c>
      <c r="Z244" s="16">
        <v>0</v>
      </c>
      <c r="AA244" s="15">
        <f t="shared" si="9"/>
        <v>0</v>
      </c>
      <c r="AC244" s="15">
        <f t="shared" si="10"/>
        <v>0</v>
      </c>
      <c r="AD244" s="15">
        <f t="shared" si="11"/>
        <v>0</v>
      </c>
    </row>
    <row r="245" spans="1:30" x14ac:dyDescent="0.2">
      <c r="A245" s="14">
        <v>1</v>
      </c>
      <c r="B245" s="11">
        <v>708003</v>
      </c>
      <c r="C245" s="11">
        <v>708003</v>
      </c>
      <c r="D245" s="11">
        <v>7</v>
      </c>
      <c r="E245" s="12"/>
      <c r="F245" s="13" t="s">
        <v>271</v>
      </c>
      <c r="G245" s="10">
        <v>0</v>
      </c>
      <c r="H245" s="10">
        <v>0</v>
      </c>
      <c r="I245" s="10">
        <v>0</v>
      </c>
      <c r="J245" s="10">
        <v>0</v>
      </c>
      <c r="K245" s="10">
        <v>588114.15</v>
      </c>
      <c r="L245" s="10">
        <v>588114.15</v>
      </c>
      <c r="M245" s="10">
        <v>588114.15</v>
      </c>
      <c r="N245" s="10">
        <v>588114.15</v>
      </c>
      <c r="O245" s="10">
        <v>0</v>
      </c>
      <c r="P245" s="10">
        <v>0</v>
      </c>
      <c r="Q245" s="1">
        <v>0</v>
      </c>
      <c r="R245" s="1">
        <v>0</v>
      </c>
      <c r="S245" s="1">
        <v>0</v>
      </c>
      <c r="T245" s="1">
        <v>0</v>
      </c>
      <c r="U245" s="1">
        <v>708003</v>
      </c>
      <c r="V245" s="1" t="s">
        <v>271</v>
      </c>
      <c r="W245" s="1" t="s">
        <v>33</v>
      </c>
      <c r="X245" t="s">
        <v>34</v>
      </c>
      <c r="Y245" s="16">
        <v>0</v>
      </c>
      <c r="Z245" s="16">
        <v>0</v>
      </c>
      <c r="AA245" s="15">
        <f t="shared" si="9"/>
        <v>0</v>
      </c>
      <c r="AC245" s="15">
        <f t="shared" si="10"/>
        <v>0</v>
      </c>
      <c r="AD245" s="15">
        <f t="shared" si="11"/>
        <v>0</v>
      </c>
    </row>
    <row r="246" spans="1:30" x14ac:dyDescent="0.2">
      <c r="A246" s="14">
        <v>1</v>
      </c>
      <c r="B246" s="11">
        <v>708008</v>
      </c>
      <c r="C246" s="11">
        <v>708008</v>
      </c>
      <c r="D246" s="11">
        <v>7</v>
      </c>
      <c r="E246" s="12"/>
      <c r="F246" s="13" t="s">
        <v>272</v>
      </c>
      <c r="G246" s="10">
        <v>0</v>
      </c>
      <c r="H246" s="10">
        <v>0</v>
      </c>
      <c r="I246" s="10">
        <v>0</v>
      </c>
      <c r="J246" s="10">
        <v>0</v>
      </c>
      <c r="K246" s="10">
        <v>1891.64</v>
      </c>
      <c r="L246" s="10">
        <v>1891.64</v>
      </c>
      <c r="M246" s="10">
        <v>1891.64</v>
      </c>
      <c r="N246" s="10">
        <v>1891.64</v>
      </c>
      <c r="O246" s="10">
        <v>0</v>
      </c>
      <c r="P246" s="10">
        <v>0</v>
      </c>
      <c r="Q246" s="1">
        <v>0</v>
      </c>
      <c r="R246" s="1">
        <v>0</v>
      </c>
      <c r="S246" s="1">
        <v>0</v>
      </c>
      <c r="T246" s="1">
        <v>0</v>
      </c>
      <c r="U246" s="1">
        <v>708008</v>
      </c>
      <c r="V246" s="1" t="s">
        <v>272</v>
      </c>
      <c r="W246" s="1" t="s">
        <v>33</v>
      </c>
      <c r="X246" t="s">
        <v>34</v>
      </c>
      <c r="Y246" s="16">
        <v>0</v>
      </c>
      <c r="Z246" s="16">
        <v>0</v>
      </c>
      <c r="AA246" s="15">
        <f t="shared" si="9"/>
        <v>0</v>
      </c>
      <c r="AC246" s="15">
        <f t="shared" si="10"/>
        <v>0</v>
      </c>
      <c r="AD246" s="15">
        <f t="shared" si="11"/>
        <v>0</v>
      </c>
    </row>
    <row r="247" spans="1:30" x14ac:dyDescent="0.2">
      <c r="A247" s="14">
        <v>1</v>
      </c>
      <c r="B247" s="11">
        <v>708009</v>
      </c>
      <c r="C247" s="11">
        <v>708009</v>
      </c>
      <c r="D247" s="11">
        <v>7</v>
      </c>
      <c r="E247" s="12"/>
      <c r="F247" s="13" t="s">
        <v>273</v>
      </c>
      <c r="G247" s="10">
        <v>0</v>
      </c>
      <c r="H247" s="10">
        <v>0</v>
      </c>
      <c r="I247" s="10">
        <v>0</v>
      </c>
      <c r="J247" s="10">
        <v>0</v>
      </c>
      <c r="K247" s="10">
        <v>80290.429999999993</v>
      </c>
      <c r="L247" s="10">
        <v>80290.429999999993</v>
      </c>
      <c r="M247" s="10">
        <v>80290.429999999993</v>
      </c>
      <c r="N247" s="10">
        <v>80290.429999999993</v>
      </c>
      <c r="O247" s="10">
        <v>0</v>
      </c>
      <c r="P247" s="10">
        <v>0</v>
      </c>
      <c r="Q247" s="1">
        <v>0</v>
      </c>
      <c r="R247" s="1">
        <v>0</v>
      </c>
      <c r="S247" s="1">
        <v>0</v>
      </c>
      <c r="T247" s="1">
        <v>0</v>
      </c>
      <c r="U247" s="1">
        <v>708009</v>
      </c>
      <c r="V247" s="1" t="s">
        <v>273</v>
      </c>
      <c r="W247" s="1" t="s">
        <v>33</v>
      </c>
      <c r="X247" t="s">
        <v>34</v>
      </c>
      <c r="Y247" s="16">
        <v>0</v>
      </c>
      <c r="Z247" s="16">
        <v>0</v>
      </c>
      <c r="AA247" s="15">
        <f t="shared" si="9"/>
        <v>0</v>
      </c>
      <c r="AC247" s="15">
        <f t="shared" si="10"/>
        <v>0</v>
      </c>
      <c r="AD247" s="15">
        <f t="shared" si="11"/>
        <v>0</v>
      </c>
    </row>
    <row r="248" spans="1:30" x14ac:dyDescent="0.2">
      <c r="A248" s="14">
        <v>1</v>
      </c>
      <c r="B248" s="11">
        <v>708010</v>
      </c>
      <c r="C248" s="11">
        <v>708010</v>
      </c>
      <c r="D248" s="11">
        <v>7</v>
      </c>
      <c r="E248" s="12"/>
      <c r="F248" s="13" t="s">
        <v>274</v>
      </c>
      <c r="G248" s="10">
        <v>0</v>
      </c>
      <c r="H248" s="10">
        <v>0</v>
      </c>
      <c r="I248" s="10">
        <v>0</v>
      </c>
      <c r="J248" s="10">
        <v>0</v>
      </c>
      <c r="K248" s="10">
        <v>4322</v>
      </c>
      <c r="L248" s="10">
        <v>4322</v>
      </c>
      <c r="M248" s="10">
        <v>4322</v>
      </c>
      <c r="N248" s="10">
        <v>4322</v>
      </c>
      <c r="O248" s="10">
        <v>0</v>
      </c>
      <c r="P248" s="10">
        <v>0</v>
      </c>
      <c r="Q248" s="1">
        <v>0</v>
      </c>
      <c r="R248" s="1">
        <v>0</v>
      </c>
      <c r="S248" s="1">
        <v>0</v>
      </c>
      <c r="T248" s="1">
        <v>0</v>
      </c>
      <c r="U248" s="1">
        <v>708010</v>
      </c>
      <c r="V248" s="1" t="s">
        <v>274</v>
      </c>
      <c r="W248" s="1" t="s">
        <v>33</v>
      </c>
      <c r="X248" t="s">
        <v>34</v>
      </c>
      <c r="Y248" s="16">
        <v>0</v>
      </c>
      <c r="Z248" s="16">
        <v>0</v>
      </c>
      <c r="AA248" s="15">
        <f t="shared" si="9"/>
        <v>0</v>
      </c>
      <c r="AC248" s="15">
        <f t="shared" si="10"/>
        <v>0</v>
      </c>
      <c r="AD248" s="15">
        <f t="shared" si="11"/>
        <v>0</v>
      </c>
    </row>
    <row r="249" spans="1:30" x14ac:dyDescent="0.2">
      <c r="A249" s="14">
        <v>1</v>
      </c>
      <c r="B249" s="11">
        <v>758300</v>
      </c>
      <c r="C249" s="11">
        <v>758300</v>
      </c>
      <c r="D249" s="11">
        <v>7</v>
      </c>
      <c r="E249" s="12"/>
      <c r="F249" s="13" t="s">
        <v>275</v>
      </c>
      <c r="G249" s="10">
        <v>0</v>
      </c>
      <c r="H249" s="10">
        <v>0</v>
      </c>
      <c r="I249" s="10">
        <v>0</v>
      </c>
      <c r="J249" s="10">
        <v>0</v>
      </c>
      <c r="K249" s="10">
        <v>632330.56000000006</v>
      </c>
      <c r="L249" s="10">
        <v>632330.56000000006</v>
      </c>
      <c r="M249" s="10">
        <v>632330.56000000006</v>
      </c>
      <c r="N249" s="10">
        <v>632330.56000000006</v>
      </c>
      <c r="O249" s="10">
        <v>0</v>
      </c>
      <c r="P249" s="10">
        <v>0</v>
      </c>
      <c r="Q249" s="1">
        <v>0</v>
      </c>
      <c r="R249" s="1">
        <v>0</v>
      </c>
      <c r="S249" s="1">
        <v>0</v>
      </c>
      <c r="T249" s="1">
        <v>0</v>
      </c>
      <c r="U249" s="1">
        <v>758300</v>
      </c>
      <c r="V249" s="1" t="s">
        <v>275</v>
      </c>
      <c r="W249" s="1" t="s">
        <v>33</v>
      </c>
      <c r="X249" t="s">
        <v>34</v>
      </c>
      <c r="Y249" s="16">
        <v>0</v>
      </c>
      <c r="Z249" s="16">
        <v>0</v>
      </c>
      <c r="AA249" s="15">
        <f t="shared" si="9"/>
        <v>0</v>
      </c>
      <c r="AC249" s="15">
        <f t="shared" si="10"/>
        <v>0</v>
      </c>
      <c r="AD249" s="15">
        <f t="shared" si="11"/>
        <v>0</v>
      </c>
    </row>
    <row r="250" spans="1:30" x14ac:dyDescent="0.2">
      <c r="A250" s="14">
        <v>1</v>
      </c>
      <c r="B250" s="11">
        <v>758800</v>
      </c>
      <c r="C250" s="11">
        <v>758800</v>
      </c>
      <c r="D250" s="11">
        <v>7</v>
      </c>
      <c r="E250" s="12"/>
      <c r="F250" s="13" t="s">
        <v>276</v>
      </c>
      <c r="G250" s="10">
        <v>0</v>
      </c>
      <c r="H250" s="10">
        <v>0</v>
      </c>
      <c r="I250" s="10">
        <v>0</v>
      </c>
      <c r="J250" s="10">
        <v>0</v>
      </c>
      <c r="K250" s="10">
        <v>19451.59</v>
      </c>
      <c r="L250" s="10">
        <v>19451.59</v>
      </c>
      <c r="M250" s="10">
        <v>19451.59</v>
      </c>
      <c r="N250" s="10">
        <v>19451.59</v>
      </c>
      <c r="O250" s="10">
        <v>0</v>
      </c>
      <c r="P250" s="10">
        <v>0</v>
      </c>
      <c r="Q250" s="1">
        <v>0</v>
      </c>
      <c r="R250" s="1">
        <v>0</v>
      </c>
      <c r="S250" s="1">
        <v>0</v>
      </c>
      <c r="T250" s="1">
        <v>0</v>
      </c>
      <c r="U250" s="1">
        <v>758800</v>
      </c>
      <c r="V250" s="1" t="s">
        <v>276</v>
      </c>
      <c r="W250" s="1" t="s">
        <v>33</v>
      </c>
      <c r="X250" t="s">
        <v>34</v>
      </c>
      <c r="Y250" s="16">
        <v>0</v>
      </c>
      <c r="Z250" s="16">
        <v>0</v>
      </c>
      <c r="AA250" s="15">
        <f t="shared" si="9"/>
        <v>0</v>
      </c>
      <c r="AC250" s="15">
        <f t="shared" si="10"/>
        <v>0</v>
      </c>
      <c r="AD250" s="15">
        <f t="shared" si="11"/>
        <v>0</v>
      </c>
    </row>
    <row r="251" spans="1:30" x14ac:dyDescent="0.2">
      <c r="A251" s="14">
        <v>1</v>
      </c>
      <c r="B251" s="11">
        <v>758802</v>
      </c>
      <c r="C251" s="11">
        <v>758802</v>
      </c>
      <c r="D251" s="11">
        <v>7</v>
      </c>
      <c r="E251" s="12"/>
      <c r="F251" s="13" t="s">
        <v>277</v>
      </c>
      <c r="G251" s="10">
        <v>0</v>
      </c>
      <c r="H251" s="10">
        <v>0</v>
      </c>
      <c r="I251" s="10">
        <v>0</v>
      </c>
      <c r="J251" s="10">
        <v>0</v>
      </c>
      <c r="K251" s="10">
        <v>1.2</v>
      </c>
      <c r="L251" s="10">
        <v>1.2</v>
      </c>
      <c r="M251" s="10">
        <v>1.2</v>
      </c>
      <c r="N251" s="10">
        <v>1.2</v>
      </c>
      <c r="O251" s="10">
        <v>0</v>
      </c>
      <c r="P251" s="10">
        <v>0</v>
      </c>
      <c r="Q251" s="1">
        <v>0</v>
      </c>
      <c r="R251" s="1">
        <v>0</v>
      </c>
      <c r="S251" s="1">
        <v>0</v>
      </c>
      <c r="T251" s="1">
        <v>0</v>
      </c>
      <c r="U251" s="1">
        <v>758802</v>
      </c>
      <c r="V251" s="1" t="s">
        <v>277</v>
      </c>
      <c r="W251" s="1" t="s">
        <v>33</v>
      </c>
      <c r="X251" t="s">
        <v>34</v>
      </c>
      <c r="Y251" s="16">
        <v>0</v>
      </c>
      <c r="Z251" s="16">
        <v>0</v>
      </c>
      <c r="AA251" s="15">
        <f t="shared" si="9"/>
        <v>0</v>
      </c>
      <c r="AC251" s="15">
        <f t="shared" si="10"/>
        <v>0</v>
      </c>
      <c r="AD251" s="15">
        <f t="shared" si="11"/>
        <v>0</v>
      </c>
    </row>
    <row r="252" spans="1:30" x14ac:dyDescent="0.2">
      <c r="A252" s="14">
        <v>1</v>
      </c>
      <c r="B252" s="11">
        <v>758804</v>
      </c>
      <c r="C252" s="11">
        <v>758804</v>
      </c>
      <c r="D252" s="11">
        <v>7</v>
      </c>
      <c r="E252" s="12"/>
      <c r="F252" s="13" t="s">
        <v>278</v>
      </c>
      <c r="G252" s="10">
        <v>0</v>
      </c>
      <c r="H252" s="10">
        <v>0</v>
      </c>
      <c r="I252" s="10">
        <v>0</v>
      </c>
      <c r="J252" s="10">
        <v>0</v>
      </c>
      <c r="K252" s="10">
        <v>1</v>
      </c>
      <c r="L252" s="10">
        <v>1</v>
      </c>
      <c r="M252" s="10">
        <v>1</v>
      </c>
      <c r="N252" s="10">
        <v>1</v>
      </c>
      <c r="O252" s="10">
        <v>0</v>
      </c>
      <c r="P252" s="10">
        <v>0</v>
      </c>
      <c r="Q252" s="1">
        <v>0</v>
      </c>
      <c r="R252" s="1">
        <v>0</v>
      </c>
      <c r="S252" s="1">
        <v>0</v>
      </c>
      <c r="T252" s="1">
        <v>0</v>
      </c>
      <c r="U252" s="1">
        <v>758804</v>
      </c>
      <c r="V252" s="1" t="s">
        <v>278</v>
      </c>
      <c r="W252" s="1" t="s">
        <v>33</v>
      </c>
      <c r="X252" t="s">
        <v>34</v>
      </c>
      <c r="Y252" s="16">
        <v>0</v>
      </c>
      <c r="Z252" s="16">
        <v>0</v>
      </c>
      <c r="AA252" s="15">
        <f t="shared" si="9"/>
        <v>0</v>
      </c>
      <c r="AC252" s="15">
        <f t="shared" si="10"/>
        <v>0</v>
      </c>
      <c r="AD252" s="15">
        <f t="shared" si="11"/>
        <v>0</v>
      </c>
    </row>
    <row r="253" spans="1:30" x14ac:dyDescent="0.2">
      <c r="A253" s="14">
        <v>1</v>
      </c>
      <c r="B253" s="11">
        <v>758813</v>
      </c>
      <c r="C253" s="11">
        <v>758813</v>
      </c>
      <c r="D253" s="11">
        <v>7</v>
      </c>
      <c r="E253" s="12"/>
      <c r="F253" s="13" t="s">
        <v>279</v>
      </c>
      <c r="G253" s="10">
        <v>0</v>
      </c>
      <c r="H253" s="10">
        <v>0</v>
      </c>
      <c r="I253" s="10">
        <v>0</v>
      </c>
      <c r="J253" s="10">
        <v>0</v>
      </c>
      <c r="K253" s="10">
        <v>82210.83</v>
      </c>
      <c r="L253" s="10">
        <v>82210.83</v>
      </c>
      <c r="M253" s="10">
        <v>82210.83</v>
      </c>
      <c r="N253" s="10">
        <v>82210.83</v>
      </c>
      <c r="O253" s="10">
        <v>0</v>
      </c>
      <c r="P253" s="10">
        <v>0</v>
      </c>
      <c r="Q253" s="1">
        <v>0</v>
      </c>
      <c r="R253" s="1">
        <v>0</v>
      </c>
      <c r="S253" s="1">
        <v>0</v>
      </c>
      <c r="T253" s="1">
        <v>0</v>
      </c>
      <c r="U253" s="1">
        <v>758813</v>
      </c>
      <c r="V253" s="1" t="s">
        <v>279</v>
      </c>
      <c r="W253" s="1" t="s">
        <v>33</v>
      </c>
      <c r="X253" t="s">
        <v>34</v>
      </c>
      <c r="Y253" s="16">
        <v>0</v>
      </c>
      <c r="Z253" s="16">
        <v>0</v>
      </c>
      <c r="AA253" s="15">
        <f t="shared" si="9"/>
        <v>0</v>
      </c>
      <c r="AC253" s="15">
        <f t="shared" si="10"/>
        <v>0</v>
      </c>
      <c r="AD253" s="15">
        <f t="shared" si="11"/>
        <v>0</v>
      </c>
    </row>
    <row r="254" spans="1:30" x14ac:dyDescent="0.2">
      <c r="A254" s="14">
        <v>1</v>
      </c>
      <c r="B254" s="11">
        <v>758817</v>
      </c>
      <c r="C254" s="11">
        <v>758817</v>
      </c>
      <c r="D254" s="11">
        <v>7</v>
      </c>
      <c r="E254" s="12"/>
      <c r="F254" s="13" t="s">
        <v>280</v>
      </c>
      <c r="G254" s="10">
        <v>0</v>
      </c>
      <c r="H254" s="10">
        <v>0</v>
      </c>
      <c r="I254" s="10">
        <v>0</v>
      </c>
      <c r="J254" s="10">
        <v>0</v>
      </c>
      <c r="K254" s="10">
        <v>17718.57</v>
      </c>
      <c r="L254" s="10">
        <v>17718.57</v>
      </c>
      <c r="M254" s="10">
        <v>17718.57</v>
      </c>
      <c r="N254" s="10">
        <v>17718.57</v>
      </c>
      <c r="O254" s="10">
        <v>0</v>
      </c>
      <c r="P254" s="10">
        <v>0</v>
      </c>
      <c r="Q254" s="1">
        <v>0</v>
      </c>
      <c r="R254" s="1">
        <v>0</v>
      </c>
      <c r="S254" s="1">
        <v>0</v>
      </c>
      <c r="T254" s="1">
        <v>0</v>
      </c>
      <c r="U254" s="1">
        <v>758817</v>
      </c>
      <c r="V254" s="1" t="s">
        <v>280</v>
      </c>
      <c r="W254" s="1" t="s">
        <v>33</v>
      </c>
      <c r="X254" t="s">
        <v>34</v>
      </c>
      <c r="Y254" s="16">
        <v>0</v>
      </c>
      <c r="Z254" s="16">
        <v>0</v>
      </c>
      <c r="AA254" s="15">
        <f t="shared" si="9"/>
        <v>0</v>
      </c>
      <c r="AC254" s="15">
        <f t="shared" si="10"/>
        <v>0</v>
      </c>
      <c r="AD254" s="15">
        <f t="shared" si="11"/>
        <v>0</v>
      </c>
    </row>
    <row r="255" spans="1:30" x14ac:dyDescent="0.2">
      <c r="A255" s="14">
        <v>1</v>
      </c>
      <c r="B255" s="11">
        <v>758820</v>
      </c>
      <c r="C255" s="11">
        <v>758820</v>
      </c>
      <c r="D255" s="11">
        <v>7</v>
      </c>
      <c r="E255" s="12"/>
      <c r="F255" s="13" t="s">
        <v>281</v>
      </c>
      <c r="G255" s="10">
        <v>0</v>
      </c>
      <c r="H255" s="10">
        <v>0</v>
      </c>
      <c r="I255" s="10">
        <v>0</v>
      </c>
      <c r="J255" s="10">
        <v>0</v>
      </c>
      <c r="K255" s="10">
        <v>49136.86</v>
      </c>
      <c r="L255" s="10">
        <v>49136.86</v>
      </c>
      <c r="M255" s="10">
        <v>49136.86</v>
      </c>
      <c r="N255" s="10">
        <v>49136.86</v>
      </c>
      <c r="O255" s="10">
        <v>0</v>
      </c>
      <c r="P255" s="10">
        <v>0</v>
      </c>
      <c r="Q255" s="1">
        <v>0</v>
      </c>
      <c r="R255" s="1">
        <v>0</v>
      </c>
      <c r="S255" s="1">
        <v>0</v>
      </c>
      <c r="T255" s="1">
        <v>0</v>
      </c>
      <c r="U255" s="1">
        <v>758820</v>
      </c>
      <c r="V255" s="1" t="s">
        <v>281</v>
      </c>
      <c r="W255" s="1" t="s">
        <v>33</v>
      </c>
      <c r="X255" t="s">
        <v>34</v>
      </c>
      <c r="Y255" s="16">
        <v>0</v>
      </c>
      <c r="Z255" s="16">
        <v>0</v>
      </c>
      <c r="AA255" s="15">
        <f t="shared" si="9"/>
        <v>0</v>
      </c>
      <c r="AC255" s="15">
        <f t="shared" si="10"/>
        <v>0</v>
      </c>
      <c r="AD255" s="15">
        <f t="shared" si="11"/>
        <v>0</v>
      </c>
    </row>
    <row r="256" spans="1:30" x14ac:dyDescent="0.2">
      <c r="A256" s="14">
        <v>1</v>
      </c>
      <c r="B256" s="11">
        <v>758821</v>
      </c>
      <c r="C256" s="11">
        <v>758821</v>
      </c>
      <c r="D256" s="11">
        <v>7</v>
      </c>
      <c r="E256" s="12"/>
      <c r="F256" s="13" t="s">
        <v>282</v>
      </c>
      <c r="G256" s="10">
        <v>0</v>
      </c>
      <c r="H256" s="10">
        <v>0</v>
      </c>
      <c r="I256" s="10">
        <v>0</v>
      </c>
      <c r="J256" s="10">
        <v>0</v>
      </c>
      <c r="K256" s="10">
        <v>30734.61</v>
      </c>
      <c r="L256" s="10">
        <v>30734.61</v>
      </c>
      <c r="M256" s="10">
        <v>30734.61</v>
      </c>
      <c r="N256" s="10">
        <v>30734.61</v>
      </c>
      <c r="O256" s="10">
        <v>0</v>
      </c>
      <c r="P256" s="10">
        <v>0</v>
      </c>
      <c r="Q256" s="1">
        <v>0</v>
      </c>
      <c r="R256" s="1">
        <v>0</v>
      </c>
      <c r="S256" s="1">
        <v>0</v>
      </c>
      <c r="T256" s="1">
        <v>0</v>
      </c>
      <c r="U256" s="1">
        <v>758821</v>
      </c>
      <c r="V256" s="1" t="s">
        <v>282</v>
      </c>
      <c r="W256" s="1" t="s">
        <v>33</v>
      </c>
      <c r="X256" t="s">
        <v>34</v>
      </c>
      <c r="Y256" s="16">
        <v>0</v>
      </c>
      <c r="Z256" s="16">
        <v>0</v>
      </c>
      <c r="AA256" s="15">
        <f t="shared" si="9"/>
        <v>0</v>
      </c>
      <c r="AC256" s="15">
        <f t="shared" si="10"/>
        <v>0</v>
      </c>
      <c r="AD256" s="15">
        <f t="shared" si="11"/>
        <v>0</v>
      </c>
    </row>
    <row r="257" spans="1:30" x14ac:dyDescent="0.2">
      <c r="A257" s="14">
        <v>1</v>
      </c>
      <c r="B257" s="11">
        <v>758830</v>
      </c>
      <c r="C257" s="11">
        <v>758830</v>
      </c>
      <c r="D257" s="11">
        <v>7</v>
      </c>
      <c r="E257" s="12"/>
      <c r="F257" s="13" t="s">
        <v>283</v>
      </c>
      <c r="G257" s="10">
        <v>0</v>
      </c>
      <c r="H257" s="10">
        <v>0</v>
      </c>
      <c r="I257" s="10">
        <v>0</v>
      </c>
      <c r="J257" s="10">
        <v>0</v>
      </c>
      <c r="K257" s="10">
        <v>9233.27</v>
      </c>
      <c r="L257" s="10">
        <v>9233.27</v>
      </c>
      <c r="M257" s="10">
        <v>9233.27</v>
      </c>
      <c r="N257" s="10">
        <v>9233.27</v>
      </c>
      <c r="O257" s="10">
        <v>0</v>
      </c>
      <c r="P257" s="10">
        <v>0</v>
      </c>
      <c r="Q257" s="1">
        <v>0</v>
      </c>
      <c r="R257" s="1">
        <v>0</v>
      </c>
      <c r="S257" s="1">
        <v>0</v>
      </c>
      <c r="T257" s="1">
        <v>0</v>
      </c>
      <c r="U257" s="1">
        <v>758830</v>
      </c>
      <c r="V257" s="1" t="s">
        <v>283</v>
      </c>
      <c r="W257" s="1" t="s">
        <v>33</v>
      </c>
      <c r="X257" t="s">
        <v>34</v>
      </c>
      <c r="Y257" s="16">
        <v>0</v>
      </c>
      <c r="Z257" s="16">
        <v>0</v>
      </c>
      <c r="AA257" s="15">
        <f t="shared" si="9"/>
        <v>0</v>
      </c>
      <c r="AC257" s="15">
        <f t="shared" si="10"/>
        <v>0</v>
      </c>
      <c r="AD257" s="15">
        <f t="shared" si="11"/>
        <v>0</v>
      </c>
    </row>
    <row r="258" spans="1:30" x14ac:dyDescent="0.2">
      <c r="A258" s="14">
        <v>1</v>
      </c>
      <c r="B258" s="11">
        <v>758840</v>
      </c>
      <c r="C258" s="11">
        <v>758840</v>
      </c>
      <c r="D258" s="11">
        <v>7</v>
      </c>
      <c r="E258" s="12"/>
      <c r="F258" s="13" t="s">
        <v>284</v>
      </c>
      <c r="G258" s="10">
        <v>0</v>
      </c>
      <c r="H258" s="10">
        <v>0</v>
      </c>
      <c r="I258" s="10">
        <v>0</v>
      </c>
      <c r="J258" s="10">
        <v>0</v>
      </c>
      <c r="K258" s="10">
        <v>23087.88</v>
      </c>
      <c r="L258" s="10">
        <v>23087.88</v>
      </c>
      <c r="M258" s="10">
        <v>23087.88</v>
      </c>
      <c r="N258" s="10">
        <v>23087.88</v>
      </c>
      <c r="O258" s="10">
        <v>0</v>
      </c>
      <c r="P258" s="10">
        <v>0</v>
      </c>
      <c r="Q258" s="1">
        <v>0</v>
      </c>
      <c r="R258" s="1">
        <v>0</v>
      </c>
      <c r="S258" s="1">
        <v>0</v>
      </c>
      <c r="T258" s="1">
        <v>0</v>
      </c>
      <c r="U258" s="1">
        <v>758840</v>
      </c>
      <c r="V258" s="1" t="s">
        <v>284</v>
      </c>
      <c r="W258" s="1" t="s">
        <v>33</v>
      </c>
      <c r="X258" t="s">
        <v>34</v>
      </c>
      <c r="Y258" s="16">
        <v>0</v>
      </c>
      <c r="Z258" s="16">
        <v>0</v>
      </c>
      <c r="AA258" s="15">
        <f t="shared" si="9"/>
        <v>0</v>
      </c>
      <c r="AC258" s="15">
        <f t="shared" si="10"/>
        <v>0</v>
      </c>
      <c r="AD258" s="15">
        <f t="shared" si="11"/>
        <v>0</v>
      </c>
    </row>
    <row r="259" spans="1:30" x14ac:dyDescent="0.2">
      <c r="A259" s="14">
        <v>1</v>
      </c>
      <c r="B259" s="11">
        <v>758841</v>
      </c>
      <c r="C259" s="11">
        <v>758841</v>
      </c>
      <c r="D259" s="11">
        <v>7</v>
      </c>
      <c r="E259" s="12"/>
      <c r="F259" s="13" t="s">
        <v>285</v>
      </c>
      <c r="G259" s="10">
        <v>0</v>
      </c>
      <c r="H259" s="10">
        <v>0</v>
      </c>
      <c r="I259" s="10">
        <v>0</v>
      </c>
      <c r="J259" s="10">
        <v>0</v>
      </c>
      <c r="K259" s="10">
        <v>9585.32</v>
      </c>
      <c r="L259" s="10">
        <v>9585.32</v>
      </c>
      <c r="M259" s="10">
        <v>9585.32</v>
      </c>
      <c r="N259" s="10">
        <v>9585.32</v>
      </c>
      <c r="O259" s="10">
        <v>0</v>
      </c>
      <c r="P259" s="10">
        <v>0</v>
      </c>
      <c r="Q259" s="1">
        <v>0</v>
      </c>
      <c r="R259" s="1">
        <v>0</v>
      </c>
      <c r="S259" s="1">
        <v>0</v>
      </c>
      <c r="T259" s="1">
        <v>0</v>
      </c>
      <c r="U259" s="1">
        <v>758841</v>
      </c>
      <c r="V259" s="1" t="s">
        <v>285</v>
      </c>
      <c r="W259" s="1" t="s">
        <v>33</v>
      </c>
      <c r="X259" t="s">
        <v>34</v>
      </c>
      <c r="Y259" s="16">
        <v>0</v>
      </c>
      <c r="Z259" s="16">
        <v>0</v>
      </c>
      <c r="AA259" s="15">
        <f t="shared" si="9"/>
        <v>0</v>
      </c>
      <c r="AC259" s="15">
        <f t="shared" si="10"/>
        <v>0</v>
      </c>
      <c r="AD259" s="15">
        <f t="shared" si="11"/>
        <v>0</v>
      </c>
    </row>
    <row r="260" spans="1:30" x14ac:dyDescent="0.2">
      <c r="A260" s="14">
        <v>1</v>
      </c>
      <c r="B260" s="11">
        <v>758850</v>
      </c>
      <c r="C260" s="11">
        <v>758850</v>
      </c>
      <c r="D260" s="11">
        <v>7</v>
      </c>
      <c r="E260" s="12"/>
      <c r="F260" s="13" t="s">
        <v>286</v>
      </c>
      <c r="G260" s="10">
        <v>0</v>
      </c>
      <c r="H260" s="10">
        <v>0</v>
      </c>
      <c r="I260" s="10">
        <v>0</v>
      </c>
      <c r="J260" s="10">
        <v>0</v>
      </c>
      <c r="K260" s="10">
        <v>3551.89</v>
      </c>
      <c r="L260" s="10">
        <v>3551.89</v>
      </c>
      <c r="M260" s="10">
        <v>3551.89</v>
      </c>
      <c r="N260" s="10">
        <v>3551.89</v>
      </c>
      <c r="O260" s="10">
        <v>0</v>
      </c>
      <c r="P260" s="10">
        <v>0</v>
      </c>
      <c r="Q260" s="1">
        <v>0</v>
      </c>
      <c r="R260" s="1">
        <v>0</v>
      </c>
      <c r="S260" s="1">
        <v>0</v>
      </c>
      <c r="T260" s="1">
        <v>0</v>
      </c>
      <c r="U260" s="1">
        <v>758850</v>
      </c>
      <c r="V260" s="1" t="s">
        <v>286</v>
      </c>
      <c r="W260" s="1" t="s">
        <v>33</v>
      </c>
      <c r="X260" t="s">
        <v>34</v>
      </c>
      <c r="Y260" s="16">
        <v>0</v>
      </c>
      <c r="Z260" s="16">
        <v>0</v>
      </c>
      <c r="AA260" s="15">
        <f t="shared" si="9"/>
        <v>0</v>
      </c>
      <c r="AC260" s="15">
        <f t="shared" si="10"/>
        <v>0</v>
      </c>
      <c r="AD260" s="15">
        <f t="shared" si="11"/>
        <v>0</v>
      </c>
    </row>
    <row r="261" spans="1:30" x14ac:dyDescent="0.2">
      <c r="A261" s="14">
        <v>1</v>
      </c>
      <c r="B261" s="11">
        <v>765000</v>
      </c>
      <c r="C261" s="11">
        <v>765000</v>
      </c>
      <c r="D261" s="11">
        <v>7</v>
      </c>
      <c r="E261" s="12"/>
      <c r="F261" s="13" t="s">
        <v>287</v>
      </c>
      <c r="G261" s="10">
        <v>0</v>
      </c>
      <c r="H261" s="10">
        <v>0</v>
      </c>
      <c r="I261" s="10">
        <v>0</v>
      </c>
      <c r="J261" s="10">
        <v>0</v>
      </c>
      <c r="K261" s="10">
        <v>9036.7000000000007</v>
      </c>
      <c r="L261" s="10">
        <v>9036.7000000000007</v>
      </c>
      <c r="M261" s="10">
        <v>9036.7000000000007</v>
      </c>
      <c r="N261" s="10">
        <v>9036.7000000000007</v>
      </c>
      <c r="O261" s="10">
        <v>0</v>
      </c>
      <c r="P261" s="10">
        <v>0</v>
      </c>
      <c r="Q261" s="1">
        <v>0</v>
      </c>
      <c r="R261" s="1">
        <v>0</v>
      </c>
      <c r="S261" s="1">
        <v>0</v>
      </c>
      <c r="T261" s="1">
        <v>0</v>
      </c>
      <c r="U261" s="1">
        <v>765000</v>
      </c>
      <c r="V261" s="1" t="s">
        <v>287</v>
      </c>
      <c r="W261" s="1" t="s">
        <v>33</v>
      </c>
      <c r="X261" t="s">
        <v>34</v>
      </c>
      <c r="Y261" s="16">
        <v>0</v>
      </c>
      <c r="Z261" s="16">
        <v>0</v>
      </c>
      <c r="AA261" s="15">
        <f t="shared" ref="AA261:AA265" si="12">O261-P261-Y261+Z261</f>
        <v>0</v>
      </c>
      <c r="AC261" s="15">
        <f t="shared" si="10"/>
        <v>0</v>
      </c>
      <c r="AD261" s="15">
        <f t="shared" si="11"/>
        <v>0</v>
      </c>
    </row>
    <row r="262" spans="1:30" x14ac:dyDescent="0.2">
      <c r="A262" s="14">
        <v>1</v>
      </c>
      <c r="B262" s="11">
        <v>766000</v>
      </c>
      <c r="C262" s="11">
        <v>766000</v>
      </c>
      <c r="D262" s="11">
        <v>7</v>
      </c>
      <c r="E262" s="12"/>
      <c r="F262" s="13" t="s">
        <v>288</v>
      </c>
      <c r="G262" s="10">
        <v>0</v>
      </c>
      <c r="H262" s="10">
        <v>0</v>
      </c>
      <c r="I262" s="10">
        <v>0</v>
      </c>
      <c r="J262" s="10">
        <v>0</v>
      </c>
      <c r="K262" s="10">
        <v>39.22</v>
      </c>
      <c r="L262" s="10">
        <v>39.22</v>
      </c>
      <c r="M262" s="10">
        <v>39.22</v>
      </c>
      <c r="N262" s="10">
        <v>39.22</v>
      </c>
      <c r="O262" s="10">
        <v>0</v>
      </c>
      <c r="P262" s="10">
        <v>0</v>
      </c>
      <c r="Q262" s="1">
        <v>0</v>
      </c>
      <c r="R262" s="1">
        <v>0</v>
      </c>
      <c r="S262" s="1">
        <v>0</v>
      </c>
      <c r="T262" s="1">
        <v>0</v>
      </c>
      <c r="U262" s="1">
        <v>766000</v>
      </c>
      <c r="V262" s="1" t="s">
        <v>288</v>
      </c>
      <c r="W262" s="1" t="s">
        <v>33</v>
      </c>
      <c r="X262" t="s">
        <v>34</v>
      </c>
      <c r="Y262" s="16">
        <v>0</v>
      </c>
      <c r="Z262" s="16">
        <v>0</v>
      </c>
      <c r="AA262" s="15">
        <f t="shared" si="12"/>
        <v>0</v>
      </c>
      <c r="AC262" s="15">
        <f t="shared" ref="AC262:AC265" si="13">G262-H262</f>
        <v>0</v>
      </c>
      <c r="AD262" s="15">
        <f t="shared" ref="AD262:AD265" si="14">O262-P262</f>
        <v>0</v>
      </c>
    </row>
    <row r="263" spans="1:30" x14ac:dyDescent="0.2">
      <c r="A263" s="14">
        <v>1</v>
      </c>
      <c r="B263" s="11">
        <v>766001</v>
      </c>
      <c r="C263" s="11">
        <v>766001</v>
      </c>
      <c r="D263" s="11">
        <v>7</v>
      </c>
      <c r="E263" s="12"/>
      <c r="F263" s="13" t="s">
        <v>289</v>
      </c>
      <c r="G263" s="10">
        <v>0</v>
      </c>
      <c r="H263" s="10">
        <v>0</v>
      </c>
      <c r="I263" s="10">
        <v>0</v>
      </c>
      <c r="J263" s="10">
        <v>0</v>
      </c>
      <c r="K263" s="10">
        <v>136692.89000000001</v>
      </c>
      <c r="L263" s="10">
        <v>136692.89000000001</v>
      </c>
      <c r="M263" s="10">
        <v>136692.89000000001</v>
      </c>
      <c r="N263" s="10">
        <v>136692.89000000001</v>
      </c>
      <c r="O263" s="10">
        <v>0</v>
      </c>
      <c r="P263" s="10">
        <v>0</v>
      </c>
      <c r="Q263" s="1">
        <v>0</v>
      </c>
      <c r="R263" s="1">
        <v>0</v>
      </c>
      <c r="S263" s="1">
        <v>0</v>
      </c>
      <c r="T263" s="1">
        <v>0</v>
      </c>
      <c r="U263" s="1">
        <v>766001</v>
      </c>
      <c r="V263" s="1" t="s">
        <v>289</v>
      </c>
      <c r="W263" s="1" t="s">
        <v>33</v>
      </c>
      <c r="X263" t="s">
        <v>34</v>
      </c>
      <c r="Y263" s="16">
        <v>0</v>
      </c>
      <c r="Z263" s="16">
        <v>0</v>
      </c>
      <c r="AA263" s="15">
        <f t="shared" si="12"/>
        <v>0</v>
      </c>
      <c r="AC263" s="15">
        <f t="shared" si="13"/>
        <v>0</v>
      </c>
      <c r="AD263" s="15">
        <f t="shared" si="14"/>
        <v>0</v>
      </c>
    </row>
    <row r="264" spans="1:30" x14ac:dyDescent="0.2">
      <c r="A264" s="14">
        <v>1</v>
      </c>
      <c r="B264" s="11">
        <v>781201</v>
      </c>
      <c r="C264" s="11">
        <v>781201</v>
      </c>
      <c r="D264" s="11">
        <v>7</v>
      </c>
      <c r="E264" s="12"/>
      <c r="F264" s="13" t="s">
        <v>290</v>
      </c>
      <c r="G264" s="10">
        <v>0</v>
      </c>
      <c r="H264" s="10">
        <v>0</v>
      </c>
      <c r="I264" s="10">
        <v>0</v>
      </c>
      <c r="J264" s="10">
        <v>0</v>
      </c>
      <c r="K264" s="10">
        <v>374400</v>
      </c>
      <c r="L264" s="10">
        <v>374400</v>
      </c>
      <c r="M264" s="10">
        <v>374400</v>
      </c>
      <c r="N264" s="10">
        <v>374400</v>
      </c>
      <c r="O264" s="10">
        <v>0</v>
      </c>
      <c r="P264" s="10">
        <v>0</v>
      </c>
      <c r="Q264" s="1">
        <v>0</v>
      </c>
      <c r="R264" s="1">
        <v>0</v>
      </c>
      <c r="S264" s="1">
        <v>0</v>
      </c>
      <c r="T264" s="1">
        <v>0</v>
      </c>
      <c r="U264" s="1">
        <v>781201</v>
      </c>
      <c r="V264" s="1" t="s">
        <v>290</v>
      </c>
      <c r="W264" s="1" t="s">
        <v>33</v>
      </c>
      <c r="X264" t="s">
        <v>34</v>
      </c>
      <c r="Y264" s="16">
        <v>0</v>
      </c>
      <c r="Z264" s="16">
        <v>0</v>
      </c>
      <c r="AA264" s="15">
        <f t="shared" si="12"/>
        <v>0</v>
      </c>
      <c r="AC264" s="15">
        <f t="shared" si="13"/>
        <v>0</v>
      </c>
      <c r="AD264" s="15">
        <f t="shared" si="14"/>
        <v>0</v>
      </c>
    </row>
    <row r="265" spans="1:30" x14ac:dyDescent="0.2">
      <c r="A265" s="6">
        <v>1</v>
      </c>
      <c r="B265" s="7">
        <v>781400</v>
      </c>
      <c r="C265" s="8">
        <v>781400</v>
      </c>
      <c r="D265" s="8">
        <v>7</v>
      </c>
      <c r="E265" s="4"/>
      <c r="F265" s="4" t="s">
        <v>291</v>
      </c>
      <c r="G265" s="5">
        <v>0</v>
      </c>
      <c r="H265" s="5">
        <v>0</v>
      </c>
      <c r="I265" s="5">
        <v>0</v>
      </c>
      <c r="J265" s="5">
        <v>0</v>
      </c>
      <c r="K265" s="5">
        <v>32847.56</v>
      </c>
      <c r="L265" s="5">
        <v>32847.56</v>
      </c>
      <c r="M265" s="5">
        <v>32847.56</v>
      </c>
      <c r="N265" s="5">
        <v>32847.56</v>
      </c>
      <c r="O265" s="5">
        <v>0</v>
      </c>
      <c r="P265" s="5">
        <v>0</v>
      </c>
      <c r="Q265" s="1">
        <v>0</v>
      </c>
      <c r="R265" s="1">
        <v>0</v>
      </c>
      <c r="S265" s="1">
        <v>0</v>
      </c>
      <c r="T265" s="1">
        <v>0</v>
      </c>
      <c r="U265" s="1">
        <v>781400</v>
      </c>
      <c r="V265" s="1" t="s">
        <v>291</v>
      </c>
      <c r="W265" s="1" t="s">
        <v>33</v>
      </c>
      <c r="X265" s="9" t="s">
        <v>34</v>
      </c>
      <c r="Y265" s="17">
        <v>0</v>
      </c>
      <c r="Z265" s="17">
        <v>0</v>
      </c>
      <c r="AA265" s="15">
        <f t="shared" si="12"/>
        <v>0</v>
      </c>
      <c r="AC265" s="15">
        <f t="shared" si="13"/>
        <v>0</v>
      </c>
      <c r="AD265" s="15">
        <f t="shared" si="14"/>
        <v>0</v>
      </c>
    </row>
    <row r="266" spans="1:30" x14ac:dyDescent="0.2">
      <c r="AD266" s="15">
        <f>SUM(AD4:AD265)</f>
        <v>1.9999999989941699</v>
      </c>
    </row>
  </sheetData>
  <mergeCells count="9">
    <mergeCell ref="Y3:AB3"/>
    <mergeCell ref="B2:P2"/>
    <mergeCell ref="A3:W3"/>
    <mergeCell ref="M4:N4"/>
    <mergeCell ref="O4:P4"/>
    <mergeCell ref="B4:E4"/>
    <mergeCell ref="G4:H4"/>
    <mergeCell ref="I4:J4"/>
    <mergeCell ref="K4:L4"/>
  </mergeCells>
  <phoneticPr fontId="1" type="noConversion"/>
  <pageMargins left="0" right="0" top="0" bottom="0" header="0.5" footer="0.5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C5287-E097-482B-88AE-DD67E3659C83}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B2426-56A0-410B-AD8F-87F2D2A103C8}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Sheet1!excel</vt:lpstr>
      <vt:lpstr>Sheet1!excel_2</vt:lpstr>
      <vt:lpstr>Sheet1!Print_Titles</vt:lpstr>
    </vt:vector>
  </TitlesOfParts>
  <Company>Ideea Software, Srl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dragos</dc:creator>
  <cp:lastModifiedBy>Francisc Farkas</cp:lastModifiedBy>
  <cp:lastPrinted>2006-08-16T13:05:43Z</cp:lastPrinted>
  <dcterms:created xsi:type="dcterms:W3CDTF">2006-08-15T11:59:22Z</dcterms:created>
  <dcterms:modified xsi:type="dcterms:W3CDTF">2026-05-05T15:06:58Z</dcterms:modified>
</cp:coreProperties>
</file>