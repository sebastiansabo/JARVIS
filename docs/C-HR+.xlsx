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sebastiansabo/Downloads/"/>
    </mc:Choice>
  </mc:AlternateContent>
  <xr:revisionPtr revIDLastSave="0" documentId="8_{9AF87C97-9D7A-AB47-9B16-F0F18D9CB2D5}" xr6:coauthVersionLast="47" xr6:coauthVersionMax="47" xr10:uidLastSave="{00000000-0000-0000-0000-000000000000}"/>
  <bookViews>
    <workbookView xWindow="0" yWindow="860" windowWidth="36000" windowHeight="22520" xr2:uid="{46858851-6BB8-4D88-A519-46BC2B38B250}"/>
  </bookViews>
  <sheets>
    <sheet name="Modul 4" sheetId="1" r:id="rId1"/>
    <sheet name="Foaie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23" i="1"/>
  <c r="E19" i="1"/>
  <c r="E18" i="1"/>
  <c r="E17" i="1"/>
  <c r="E16" i="1"/>
  <c r="E12" i="1"/>
  <c r="E11" i="1"/>
  <c r="E10" i="1"/>
  <c r="E9" i="1"/>
  <c r="E8" i="1"/>
  <c r="E7" i="1"/>
  <c r="X7" i="1"/>
  <c r="Y7" i="1" s="1"/>
  <c r="Z7" i="1"/>
  <c r="AB7" i="1"/>
  <c r="AC7" i="1"/>
  <c r="AD7" i="1" s="1"/>
  <c r="AE7" i="1"/>
  <c r="AG7" i="1"/>
  <c r="X8" i="1"/>
  <c r="Y8" i="1" s="1"/>
  <c r="Z8" i="1"/>
  <c r="AB8" i="1"/>
  <c r="AC8" i="1"/>
  <c r="AD8" i="1" s="1"/>
  <c r="AE8" i="1"/>
  <c r="AG8" i="1"/>
  <c r="X9" i="1"/>
  <c r="Y9" i="1" s="1"/>
  <c r="Z9" i="1"/>
  <c r="AB9" i="1"/>
  <c r="AC9" i="1"/>
  <c r="AD9" i="1" s="1"/>
  <c r="AE9" i="1"/>
  <c r="AG9" i="1"/>
  <c r="X10" i="1"/>
  <c r="Y10" i="1" s="1"/>
  <c r="Z10" i="1"/>
  <c r="AB10" i="1"/>
  <c r="AC10" i="1"/>
  <c r="AD10" i="1" s="1"/>
  <c r="AE10" i="1"/>
  <c r="AG10" i="1"/>
  <c r="X11" i="1"/>
  <c r="Y11" i="1" s="1"/>
  <c r="Z11" i="1"/>
  <c r="AB11" i="1"/>
  <c r="AC11" i="1"/>
  <c r="AD11" i="1" s="1"/>
  <c r="AE11" i="1"/>
  <c r="AG11" i="1"/>
  <c r="X12" i="1"/>
  <c r="Y12" i="1" s="1"/>
  <c r="Z12" i="1"/>
  <c r="AB12" i="1"/>
  <c r="AC12" i="1"/>
  <c r="AD12" i="1" s="1"/>
  <c r="AE12" i="1"/>
  <c r="AG12" i="1"/>
  <c r="AL19" i="1"/>
  <c r="B25" i="1"/>
  <c r="D25" i="1"/>
  <c r="B20" i="1"/>
  <c r="AC16" i="1"/>
  <c r="AD16" i="1" s="1"/>
  <c r="AE16" i="1"/>
  <c r="AG16" i="1"/>
  <c r="AC17" i="1"/>
  <c r="AD17" i="1" s="1"/>
  <c r="AE17" i="1"/>
  <c r="AG17" i="1"/>
  <c r="AC18" i="1"/>
  <c r="AD18" i="1" s="1"/>
  <c r="AE18" i="1"/>
  <c r="AG18" i="1"/>
  <c r="AC19" i="1"/>
  <c r="AD19" i="1" s="1"/>
  <c r="AE19" i="1"/>
  <c r="AG19" i="1"/>
  <c r="X23" i="1"/>
  <c r="Y23" i="1" s="1"/>
  <c r="Z23" i="1"/>
  <c r="AB23" i="1"/>
  <c r="AC23" i="1"/>
  <c r="AD23" i="1" s="1"/>
  <c r="AE23" i="1"/>
  <c r="AG23" i="1"/>
  <c r="X24" i="1"/>
  <c r="Y24" i="1" s="1"/>
  <c r="Z24" i="1"/>
  <c r="AB24" i="1"/>
  <c r="AC24" i="1"/>
  <c r="AD24" i="1" s="1"/>
  <c r="AE24" i="1"/>
  <c r="AG24" i="1"/>
  <c r="C25" i="1"/>
  <c r="D20" i="1"/>
  <c r="C20" i="1"/>
  <c r="D13" i="1"/>
  <c r="C13" i="1"/>
  <c r="B13" i="1"/>
  <c r="AL18" i="1"/>
  <c r="AL17" i="1"/>
  <c r="AL16" i="1"/>
  <c r="AL12" i="1"/>
  <c r="AL11" i="1"/>
  <c r="AL10" i="1"/>
  <c r="AL9" i="1"/>
  <c r="AL8" i="1"/>
  <c r="AL7" i="1"/>
  <c r="AJ24" i="1"/>
  <c r="AJ23" i="1"/>
  <c r="AJ19" i="1"/>
  <c r="AJ18" i="1"/>
  <c r="AJ17" i="1"/>
  <c r="AJ16" i="1"/>
  <c r="AJ8" i="1"/>
  <c r="AJ9" i="1"/>
  <c r="AJ10" i="1"/>
  <c r="AJ11" i="1"/>
  <c r="AJ12" i="1"/>
  <c r="AJ7" i="1"/>
  <c r="AH24" i="1"/>
  <c r="AI24" i="1" s="1"/>
  <c r="AH23" i="1"/>
  <c r="AI23" i="1" s="1"/>
  <c r="AH19" i="1"/>
  <c r="AI19" i="1" s="1"/>
  <c r="AH18" i="1"/>
  <c r="AI18" i="1" s="1"/>
  <c r="AH17" i="1"/>
  <c r="AI17" i="1" s="1"/>
  <c r="AH16" i="1"/>
  <c r="AI16" i="1" s="1"/>
  <c r="AH8" i="1"/>
  <c r="AI8" i="1" s="1"/>
  <c r="AH9" i="1"/>
  <c r="AI9" i="1" s="1"/>
  <c r="AH10" i="1"/>
  <c r="AI10" i="1" s="1"/>
  <c r="AH11" i="1"/>
  <c r="AI11" i="1" s="1"/>
  <c r="AH12" i="1"/>
  <c r="AI12" i="1" s="1"/>
  <c r="AH7" i="1"/>
  <c r="AI7" i="1" s="1"/>
  <c r="AA7" i="1" l="1"/>
  <c r="AA8" i="1"/>
  <c r="AF8" i="1"/>
  <c r="AF7" i="1"/>
  <c r="AA12" i="1"/>
  <c r="AA10" i="1"/>
  <c r="AF9" i="1"/>
  <c r="AF10" i="1"/>
  <c r="AA11" i="1"/>
  <c r="AA9" i="1"/>
  <c r="AF12" i="1"/>
  <c r="AF11" i="1"/>
  <c r="E25" i="1"/>
  <c r="Z25" i="1" a="1"/>
  <c r="Z25" i="1" s="1"/>
  <c r="E20" i="1"/>
  <c r="AF18" i="1"/>
  <c r="E13" i="1"/>
  <c r="AF17" i="1"/>
  <c r="AF19" i="1"/>
  <c r="AF16" i="1"/>
  <c r="B28" i="1"/>
  <c r="AJ25" i="1" a="1"/>
  <c r="AJ25" i="1" s="1"/>
  <c r="AJ13" i="1"/>
  <c r="AJ20" i="1"/>
  <c r="AE25" i="1" a="1"/>
  <c r="AE25" i="1" s="1"/>
  <c r="AE20" i="1"/>
  <c r="Z13" i="1"/>
  <c r="Z20" i="1"/>
  <c r="AE13" i="1"/>
  <c r="AF23" i="1"/>
  <c r="AA24" i="1"/>
  <c r="AF24" i="1"/>
  <c r="AD25" i="1"/>
  <c r="AA23" i="1"/>
  <c r="Y25" i="1"/>
  <c r="AK24" i="1"/>
  <c r="AK7" i="1"/>
  <c r="AK12" i="1"/>
  <c r="AK11" i="1"/>
  <c r="AK10" i="1"/>
  <c r="AK9" i="1"/>
  <c r="AK8" i="1"/>
  <c r="AK16" i="1"/>
  <c r="AK23" i="1"/>
  <c r="AK17" i="1"/>
  <c r="AK18" i="1"/>
  <c r="AK19" i="1"/>
  <c r="C28" i="1"/>
  <c r="D28" i="1"/>
  <c r="AI13" i="1"/>
  <c r="AI25" i="1"/>
  <c r="AI20" i="1"/>
  <c r="AD13" i="1"/>
  <c r="AD20" i="1"/>
  <c r="Y13" i="1"/>
  <c r="Y20" i="1"/>
  <c r="F25" i="1" l="1"/>
  <c r="B3" i="1"/>
  <c r="F20" i="1"/>
  <c r="F13" i="1"/>
  <c r="AA25" i="1"/>
  <c r="AF25" i="1"/>
  <c r="B29" i="1"/>
  <c r="AE28" i="1"/>
  <c r="AJ28" i="1"/>
  <c r="Z28" i="1"/>
  <c r="AD28" i="1"/>
  <c r="AK25" i="1"/>
  <c r="AK13" i="1"/>
  <c r="AF20" i="1"/>
  <c r="AF13" i="1"/>
  <c r="AK20" i="1"/>
  <c r="AA20" i="1"/>
  <c r="AI28" i="1"/>
  <c r="Y28" i="1"/>
  <c r="AA13" i="1"/>
  <c r="Y30" i="1" l="1"/>
  <c r="AA30" i="1" s="1"/>
  <c r="Y31" i="1"/>
  <c r="AA31" i="1" s="1"/>
  <c r="AF28" i="1"/>
  <c r="AA28" i="1"/>
  <c r="AK28" i="1"/>
  <c r="B30" i="1" l="1"/>
  <c r="B31" i="1"/>
  <c r="B34" i="1" s="1"/>
  <c r="B3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<sst xmlns="http://schemas.openxmlformats.org/spreadsheetml/2006/main" count="87" uniqueCount="43">
  <si>
    <t>Awareness</t>
  </si>
  <si>
    <t>Consideration</t>
  </si>
  <si>
    <t>Conversion</t>
  </si>
  <si>
    <t>Luna 1</t>
  </si>
  <si>
    <t>Luna 2</t>
  </si>
  <si>
    <t>Luna 3</t>
  </si>
  <si>
    <t>CPC</t>
  </si>
  <si>
    <t>CVR</t>
  </si>
  <si>
    <t>YouTube Skippable In-Stream</t>
  </si>
  <si>
    <t>Meta Reach</t>
  </si>
  <si>
    <t>Meta Traffic</t>
  </si>
  <si>
    <t>Google Display</t>
  </si>
  <si>
    <t>Google Search</t>
  </si>
  <si>
    <t>Meta Engagement</t>
  </si>
  <si>
    <t>Meta Video Views</t>
  </si>
  <si>
    <t>Programmatic Display</t>
  </si>
  <si>
    <t>Special Activation</t>
  </si>
  <si>
    <t>Google Demand Gen</t>
  </si>
  <si>
    <t>YouTube Bumper</t>
  </si>
  <si>
    <t>Google Search High Intent</t>
  </si>
  <si>
    <t>Meta Conversion</t>
  </si>
  <si>
    <t>Google Pmax (optimized on conversion)</t>
  </si>
  <si>
    <t>Google Pmax (optimized on clicks)</t>
  </si>
  <si>
    <t>TOTAL</t>
  </si>
  <si>
    <t>CVR LEAD</t>
  </si>
  <si>
    <t>CVR CAR</t>
  </si>
  <si>
    <t>Masini Vandute</t>
  </si>
  <si>
    <t>Clicks</t>
  </si>
  <si>
    <t>LEAD</t>
  </si>
  <si>
    <t>c</t>
  </si>
  <si>
    <t>Buget CONSUMAT</t>
  </si>
  <si>
    <t>Numar Lead-uri</t>
  </si>
  <si>
    <t>Cost / Lead</t>
  </si>
  <si>
    <t>TOTAL (Awareness)</t>
  </si>
  <si>
    <t>TOTAL (Consideration)</t>
  </si>
  <si>
    <t>TOTAL (Conversion)</t>
  </si>
  <si>
    <t>TOTAL CAMPANIE / LUNA</t>
  </si>
  <si>
    <t>CVR (Lead -- Sale)</t>
  </si>
  <si>
    <t>Canal / Funnel</t>
  </si>
  <si>
    <t>Buget Disponibil</t>
  </si>
  <si>
    <t>Frecventa</t>
  </si>
  <si>
    <t>BUGET</t>
  </si>
  <si>
    <t xml:space="preserve">Dimensiune audienta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</si>
</sst>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[$€-2]\ * #,##0.00_);_([$€-2]\ * \(#,##0.00\);_([$€-2]\ * &quot;-&quot;??_);_(@_)"/>
    <numFmt numFmtId="166" formatCode="_([$€-2]\ * #,##0_);_([$€-2]\ * \(#,##0\);_([$€-2]\ * &quot;-&quot;??_);_(@_)"/>
    <numFmt numFmtId="167" formatCode="_(* #,##0_);_(* \(#,##0\);_(* &quot;-&quot;??_);_(@_)"/>
    <numFmt numFmtId="168" formatCode="#,##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10" fontId="0" fillId="0" borderId="0" xfId="2" applyNumberFormat="1" applyFont="1"/>
    <xf numFmtId="3" fontId="0" fillId="0" borderId="0" xfId="0" applyNumberFormat="1"/>
    <xf numFmtId="165" fontId="0" fillId="0" borderId="0" xfId="0" applyNumberFormat="1"/>
    <xf numFmtId="0" fontId="2" fillId="0" borderId="0" xfId="0" applyFont="1"/>
    <xf numFmtId="166" fontId="2" fillId="0" borderId="0" xfId="0" applyNumberFormat="1" applyFont="1"/>
    <xf numFmtId="3" fontId="2" fillId="0" borderId="0" xfId="0" applyNumberFormat="1" applyFont="1"/>
    <xf numFmtId="10" fontId="2" fillId="0" borderId="0" xfId="2" applyNumberFormat="1" applyFont="1" applyFill="1"/>
    <xf numFmtId="165" fontId="2" fillId="0" borderId="0" xfId="0" applyNumberFormat="1" applyFont="1"/>
    <xf numFmtId="4" fontId="2" fillId="0" borderId="0" xfId="0" applyNumberFormat="1" applyFont="1"/>
    <xf numFmtId="167" fontId="0" fillId="0" borderId="0" xfId="1" applyNumberFormat="1" applyFont="1"/>
    <xf numFmtId="10" fontId="0" fillId="0" borderId="0" xfId="2" applyNumberFormat="1" applyFont="1" applyBorder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166" fontId="0" fillId="3" borderId="0" xfId="0" applyNumberFormat="1" applyFill="1"/>
    <xf numFmtId="0" fontId="0" fillId="3" borderId="0" xfId="0" applyFill="1"/>
    <xf numFmtId="10" fontId="0" fillId="3" borderId="0" xfId="2" applyNumberFormat="1" applyFont="1" applyFill="1" applyBorder="1"/>
    <xf numFmtId="4" fontId="3" fillId="4" borderId="0" xfId="0" applyNumberFormat="1" applyFont="1" applyFill="1"/>
    <xf numFmtId="3" fontId="3" fillId="4" borderId="0" xfId="0" applyNumberFormat="1" applyFont="1" applyFill="1"/>
    <xf numFmtId="10" fontId="3" fillId="4" borderId="0" xfId="2" applyNumberFormat="1" applyFont="1" applyFill="1" applyBorder="1"/>
    <xf numFmtId="0" fontId="4" fillId="4" borderId="0" xfId="0" applyFont="1" applyFill="1"/>
    <xf numFmtId="166" fontId="4" fillId="4" borderId="0" xfId="0" applyNumberFormat="1" applyFont="1" applyFill="1"/>
    <xf numFmtId="4" fontId="4" fillId="4" borderId="0" xfId="0" applyNumberFormat="1" applyFont="1" applyFill="1"/>
    <xf numFmtId="3" fontId="4" fillId="4" borderId="0" xfId="0" applyNumberFormat="1" applyFont="1" applyFill="1"/>
    <xf numFmtId="10" fontId="4" fillId="4" borderId="0" xfId="0" applyNumberFormat="1" applyFont="1" applyFill="1"/>
    <xf numFmtId="165" fontId="4" fillId="4" borderId="0" xfId="0" applyNumberFormat="1" applyFont="1" applyFill="1"/>
    <xf numFmtId="0" fontId="0" fillId="4" borderId="0" xfId="0" applyFill="1"/>
    <xf numFmtId="166" fontId="0" fillId="4" borderId="0" xfId="0" applyNumberFormat="1" applyFill="1"/>
    <xf numFmtId="4" fontId="0" fillId="4" borderId="0" xfId="0" applyNumberFormat="1" applyFill="1"/>
    <xf numFmtId="3" fontId="0" fillId="4" borderId="0" xfId="0" applyNumberFormat="1" applyFill="1"/>
    <xf numFmtId="10" fontId="0" fillId="4" borderId="0" xfId="2" applyNumberFormat="1" applyFont="1" applyFill="1" applyBorder="1"/>
    <xf numFmtId="0" fontId="2" fillId="4" borderId="0" xfId="0" applyFont="1" applyFill="1"/>
    <xf numFmtId="166" fontId="2" fillId="4" borderId="0" xfId="0" applyNumberFormat="1" applyFont="1" applyFill="1"/>
    <xf numFmtId="3" fontId="2" fillId="4" borderId="0" xfId="0" applyNumberFormat="1" applyFont="1" applyFill="1"/>
    <xf numFmtId="10" fontId="2" fillId="4" borderId="0" xfId="2" applyNumberFormat="1" applyFont="1" applyFill="1" applyBorder="1"/>
    <xf numFmtId="9" fontId="2" fillId="0" borderId="0" xfId="2" applyFont="1"/>
    <xf numFmtId="168" fontId="0" fillId="0" borderId="0" xfId="0" applyNumberFormat="1"/>
    <xf numFmtId="168" fontId="2" fillId="0" borderId="0" xfId="0" applyNumberFormat="1" applyFont="1"/>
    <xf numFmtId="1" fontId="0" fillId="0" borderId="0" xfId="0" applyNumberFormat="1"/>
    <xf numFmtId="166" fontId="0" fillId="4" borderId="1" xfId="0" applyNumberFormat="1" applyFill="1" applyBorder="1"/>
    <xf numFmtId="166" fontId="3" fillId="4" borderId="1" xfId="0" applyNumberFormat="1" applyFont="1" applyFill="1" applyBorder="1"/>
    <xf numFmtId="164" fontId="0" fillId="0" borderId="0" xfId="1" applyFont="1"/>
    <xf numFmtId="0" fontId="5" fillId="0" borderId="0" xfId="0" applyFont="1"/>
    <xf numFmtId="0" fontId="3" fillId="5" borderId="1" xfId="0" applyFont="1" applyFill="1" applyBorder="1"/>
    <xf numFmtId="166" fontId="3" fillId="5" borderId="1" xfId="0" applyNumberFormat="1" applyFont="1" applyFill="1" applyBorder="1"/>
    <xf numFmtId="3" fontId="3" fillId="5" borderId="1" xfId="0" applyNumberFormat="1" applyFont="1" applyFill="1" applyBorder="1"/>
    <xf numFmtId="0" fontId="0" fillId="5" borderId="1" xfId="0" applyFill="1" applyBorder="1"/>
    <xf numFmtId="166" fontId="0" fillId="5" borderId="1" xfId="0" applyNumberFormat="1" applyFill="1" applyBorder="1"/>
    <xf numFmtId="3" fontId="0" fillId="5" borderId="1" xfId="0" applyNumberFormat="1" applyFill="1" applyBorder="1"/>
    <xf numFmtId="9" fontId="0" fillId="5" borderId="0" xfId="2" applyFont="1" applyFill="1"/>
    <xf numFmtId="166" fontId="0" fillId="0" borderId="0" xfId="0" applyNumberFormat="1"/>
    <xf numFmtId="10" fontId="2" fillId="0" borderId="0" xfId="2" applyNumberFormat="1" applyFont="1" applyFill="1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0D3E-0E4B-424B-9C2E-46DDC2C9E516}">
  <dimension ref="A1:AL34"/>
  <sheetViews>
    <sheetView tabSelected="1" topLeftCell="A12" zoomScale="248" workbookViewId="0">
      <selection activeCell="G17" sqref="G17"/>
    </sheetView>
  </sheetViews>
  <sheetFormatPr baseColWidth="10" defaultColWidth="8.83203125" defaultRowHeight="15" x14ac:dyDescent="0.2"/>
  <cols>
    <col min="1" max="1" width="36.6640625" bestFit="1" customWidth="1"/>
    <col min="2" max="2" width="12" bestFit="1" customWidth="1"/>
    <col min="3" max="3" width="11" bestFit="1" customWidth="1"/>
    <col min="4" max="4" width="12.6640625" customWidth="1"/>
    <col min="23" max="23" width="12" bestFit="1" customWidth="1"/>
    <col min="24" max="38" width="8.83203125" hidden="1" customWidth="1"/>
  </cols>
  <sheetData>
    <row r="1" spans="1:38" x14ac:dyDescent="0.2">
      <c r="A1" t="s">
        <v>42</v>
      </c>
      <c r="B1" s="10">
        <v>300000</v>
      </c>
    </row>
    <row r="2" spans="1:38" x14ac:dyDescent="0.2">
      <c r="A2" t="s">
        <v>39</v>
      </c>
      <c r="B2" s="10">
        <v>10000</v>
      </c>
    </row>
    <row r="3" spans="1:38" x14ac:dyDescent="0.2">
      <c r="A3" t="s">
        <v>40</v>
      </c>
      <c r="B3" s="42">
        <f>(E20+E25)*1000/8/B1+E13*1000/2/B1</f>
        <v>9.6041666666666661</v>
      </c>
    </row>
    <row r="4" spans="1:38" x14ac:dyDescent="0.2">
      <c r="B4" s="54" t="s">
        <v>41</v>
      </c>
      <c r="C4" s="54"/>
      <c r="D4" s="54"/>
      <c r="X4" s="53" t="s">
        <v>3</v>
      </c>
      <c r="Y4" s="53"/>
      <c r="Z4" s="53"/>
      <c r="AA4" s="53"/>
      <c r="AB4" s="53"/>
      <c r="AC4" s="53" t="s">
        <v>4</v>
      </c>
      <c r="AD4" s="53"/>
      <c r="AE4" s="53"/>
      <c r="AF4" s="53"/>
      <c r="AG4" s="53"/>
      <c r="AH4" s="53" t="s">
        <v>5</v>
      </c>
      <c r="AI4" s="53"/>
      <c r="AJ4" s="53"/>
      <c r="AK4" s="53"/>
      <c r="AL4" s="53"/>
    </row>
    <row r="5" spans="1:38" s="43" customFormat="1" x14ac:dyDescent="0.2">
      <c r="A5" s="43" t="s">
        <v>38</v>
      </c>
      <c r="B5" s="43" t="s">
        <v>3</v>
      </c>
      <c r="C5" s="43" t="s">
        <v>4</v>
      </c>
      <c r="D5" s="43" t="s">
        <v>5</v>
      </c>
      <c r="E5" s="43" t="s">
        <v>23</v>
      </c>
      <c r="X5" s="43" t="s">
        <v>6</v>
      </c>
      <c r="Y5" s="43" t="s">
        <v>27</v>
      </c>
      <c r="Z5" s="43" t="s">
        <v>24</v>
      </c>
      <c r="AA5" s="43" t="s">
        <v>28</v>
      </c>
      <c r="AB5" s="43" t="s">
        <v>25</v>
      </c>
      <c r="AC5" s="43" t="s">
        <v>6</v>
      </c>
      <c r="AD5" s="43" t="s">
        <v>27</v>
      </c>
      <c r="AE5" s="43" t="s">
        <v>24</v>
      </c>
      <c r="AF5" s="43" t="s">
        <v>28</v>
      </c>
      <c r="AG5" s="43" t="s">
        <v>25</v>
      </c>
      <c r="AH5" s="43" t="s">
        <v>6</v>
      </c>
      <c r="AI5" s="43" t="s">
        <v>27</v>
      </c>
      <c r="AJ5" s="43" t="s">
        <v>24</v>
      </c>
      <c r="AK5" s="43" t="s">
        <v>28</v>
      </c>
      <c r="AL5" s="43" t="s">
        <v>25</v>
      </c>
    </row>
    <row r="6" spans="1:38" x14ac:dyDescent="0.2">
      <c r="A6" s="12" t="s">
        <v>0</v>
      </c>
      <c r="B6" s="13"/>
      <c r="C6" s="13"/>
      <c r="D6" s="13"/>
      <c r="E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</row>
    <row r="7" spans="1:38" x14ac:dyDescent="0.2">
      <c r="A7" s="44" t="s">
        <v>10</v>
      </c>
      <c r="B7" s="45">
        <v>500</v>
      </c>
      <c r="C7" s="45">
        <v>400</v>
      </c>
      <c r="D7" s="45">
        <v>300</v>
      </c>
      <c r="E7" s="41">
        <f>SUM(B7:D7)</f>
        <v>1200</v>
      </c>
      <c r="W7" s="2"/>
      <c r="X7" s="18">
        <f>_xlfn.XLOOKUP(A7,Foaie2!A:A,Foaie2!C:C,0)</f>
        <v>0.06</v>
      </c>
      <c r="Y7" s="19">
        <f t="shared" ref="Y7:Y12" si="0">IFERROR(B7/X7,0)</f>
        <v>8333.3333333333339</v>
      </c>
      <c r="Z7" s="20">
        <f>_xlfn.XLOOKUP(A7,Foaie2!A:A,Foaie2!D:D,0)</f>
        <v>2E-3</v>
      </c>
      <c r="AA7" s="18">
        <f t="shared" ref="AA7:AA12" si="1">Y7*Z7</f>
        <v>16.666666666666668</v>
      </c>
      <c r="AB7" s="20">
        <f>_xlfn.XLOOKUP(A7,Foaie2!A:A,Foaie2!E:E,0)</f>
        <v>5.0000000000000001E-4</v>
      </c>
      <c r="AC7" s="18">
        <f>_xlfn.XLOOKUP(A7,Foaie2!A:A,Foaie2!G:G,0)</f>
        <v>0.06</v>
      </c>
      <c r="AD7" s="19">
        <f t="shared" ref="AD7:AD12" si="2">IFERROR(C7/AC7,0)</f>
        <v>6666.666666666667</v>
      </c>
      <c r="AE7" s="20">
        <f>_xlfn.XLOOKUP(A7,Foaie2!A:A,Foaie2!H:H,0)</f>
        <v>1E-3</v>
      </c>
      <c r="AF7" s="18">
        <f t="shared" ref="AF7:AF12" si="3">AD7*AE7</f>
        <v>6.666666666666667</v>
      </c>
      <c r="AG7" s="20">
        <f>_xlfn.XLOOKUP(A7,Foaie2!A:A,Foaie2!I:I,0)</f>
        <v>5.0000000000000001E-4</v>
      </c>
      <c r="AH7" s="18">
        <f>_xlfn.XLOOKUP(A7,Foaie2!A:A,Foaie2!K:K,0)</f>
        <v>0.06</v>
      </c>
      <c r="AI7" s="19">
        <f t="shared" ref="AI7:AI12" si="4">IFERROR(D7/AH7,0)</f>
        <v>5000</v>
      </c>
      <c r="AJ7" s="20">
        <f>_xlfn.XLOOKUP(A7,Foaie2!A:A,Foaie2!L:L,0)</f>
        <v>1E-3</v>
      </c>
      <c r="AK7" s="18">
        <f t="shared" ref="AK7:AK12" si="5">AI7*AJ7</f>
        <v>5</v>
      </c>
      <c r="AL7" s="20">
        <f>_xlfn.XLOOKUP(A7,Foaie2!A:A,Foaie2!M:M,0)</f>
        <v>5.0000000000000001E-4</v>
      </c>
    </row>
    <row r="8" spans="1:38" x14ac:dyDescent="0.2">
      <c r="A8" s="44" t="s">
        <v>9</v>
      </c>
      <c r="B8" s="45">
        <v>400</v>
      </c>
      <c r="C8" s="45">
        <v>250</v>
      </c>
      <c r="D8" s="45"/>
      <c r="E8" s="41">
        <f t="shared" ref="E8:E12" si="6">SUM(B8:D8)</f>
        <v>650</v>
      </c>
      <c r="W8" s="2"/>
      <c r="X8" s="18">
        <f>_xlfn.XLOOKUP(A8,Foaie2!A:A,Foaie2!C:C,0)</f>
        <v>0.3</v>
      </c>
      <c r="Y8" s="19">
        <f t="shared" si="0"/>
        <v>1333.3333333333335</v>
      </c>
      <c r="Z8" s="20">
        <f>_xlfn.XLOOKUP(A8,Foaie2!A:A,Foaie2!D:D,0)</f>
        <v>4.0000000000000001E-3</v>
      </c>
      <c r="AA8" s="18">
        <f t="shared" si="1"/>
        <v>5.3333333333333339</v>
      </c>
      <c r="AB8" s="20">
        <f>_xlfn.XLOOKUP(A8,Foaie2!A:A,Foaie2!E:E,0)</f>
        <v>1.5E-3</v>
      </c>
      <c r="AC8" s="18">
        <f>_xlfn.XLOOKUP(A8,Foaie2!A:A,Foaie2!G:G,0)</f>
        <v>0.3</v>
      </c>
      <c r="AD8" s="19">
        <f t="shared" si="2"/>
        <v>833.33333333333337</v>
      </c>
      <c r="AE8" s="20">
        <f>_xlfn.XLOOKUP(A8,Foaie2!A:A,Foaie2!H:H,0)</f>
        <v>2E-3</v>
      </c>
      <c r="AF8" s="18">
        <f t="shared" si="3"/>
        <v>1.6666666666666667</v>
      </c>
      <c r="AG8" s="20">
        <f>_xlfn.XLOOKUP(A8,Foaie2!A:A,Foaie2!I:I,0)</f>
        <v>1.5E-3</v>
      </c>
      <c r="AH8" s="18">
        <f>_xlfn.XLOOKUP(A8,Foaie2!A:A,Foaie2!K:K,0)</f>
        <v>0.3</v>
      </c>
      <c r="AI8" s="19">
        <f t="shared" si="4"/>
        <v>0</v>
      </c>
      <c r="AJ8" s="20">
        <f>_xlfn.XLOOKUP(A8,Foaie2!A:A,Foaie2!L:L,0)</f>
        <v>2E-3</v>
      </c>
      <c r="AK8" s="18">
        <f t="shared" si="5"/>
        <v>0</v>
      </c>
      <c r="AL8" s="20">
        <f>_xlfn.XLOOKUP(A8,Foaie2!A:A,Foaie2!M:M,0)</f>
        <v>1.5E-3</v>
      </c>
    </row>
    <row r="9" spans="1:38" x14ac:dyDescent="0.2">
      <c r="A9" s="44" t="s">
        <v>14</v>
      </c>
      <c r="B9" s="45">
        <v>400</v>
      </c>
      <c r="C9" s="45">
        <v>200</v>
      </c>
      <c r="D9" s="46"/>
      <c r="E9" s="41">
        <f t="shared" si="6"/>
        <v>600</v>
      </c>
      <c r="W9" s="2"/>
      <c r="X9" s="18">
        <f>_xlfn.XLOOKUP(A9,Foaie2!A:A,Foaie2!C:C,0)</f>
        <v>1</v>
      </c>
      <c r="Y9" s="19">
        <f t="shared" si="0"/>
        <v>400</v>
      </c>
      <c r="Z9" s="20">
        <f>_xlfn.XLOOKUP(A9,Foaie2!A:A,Foaie2!D:D,0)</f>
        <v>7.4999999999999997E-3</v>
      </c>
      <c r="AA9" s="18">
        <f t="shared" si="1"/>
        <v>3</v>
      </c>
      <c r="AB9" s="20">
        <f>_xlfn.XLOOKUP(A9,Foaie2!A:A,Foaie2!E:E,0)</f>
        <v>1E-3</v>
      </c>
      <c r="AC9" s="18">
        <f>_xlfn.XLOOKUP(A9,Foaie2!A:A,Foaie2!G:G,0)</f>
        <v>1</v>
      </c>
      <c r="AD9" s="19">
        <f t="shared" si="2"/>
        <v>200</v>
      </c>
      <c r="AE9" s="20">
        <f>_xlfn.XLOOKUP(A9,Foaie2!A:A,Foaie2!H:H,0)</f>
        <v>5.4999999999999997E-3</v>
      </c>
      <c r="AF9" s="18">
        <f t="shared" si="3"/>
        <v>1.0999999999999999</v>
      </c>
      <c r="AG9" s="20">
        <f>_xlfn.XLOOKUP(A9,Foaie2!A:A,Foaie2!I:I,0)</f>
        <v>1E-3</v>
      </c>
      <c r="AH9" s="18">
        <f>_xlfn.XLOOKUP(A9,Foaie2!A:A,Foaie2!K:K,0)</f>
        <v>1</v>
      </c>
      <c r="AI9" s="19">
        <f t="shared" si="4"/>
        <v>0</v>
      </c>
      <c r="AJ9" s="20">
        <f>_xlfn.XLOOKUP(A9,Foaie2!A:A,Foaie2!L:L,0)</f>
        <v>3.5000000000000001E-3</v>
      </c>
      <c r="AK9" s="18">
        <f t="shared" si="5"/>
        <v>0</v>
      </c>
      <c r="AL9" s="20">
        <f>_xlfn.XLOOKUP(A9,Foaie2!A:A,Foaie2!M:M,0)</f>
        <v>1E-3</v>
      </c>
    </row>
    <row r="10" spans="1:38" x14ac:dyDescent="0.2">
      <c r="A10" s="44" t="s">
        <v>8</v>
      </c>
      <c r="B10" s="45">
        <v>300</v>
      </c>
      <c r="C10" s="45">
        <v>100</v>
      </c>
      <c r="D10" s="46"/>
      <c r="E10" s="41">
        <f t="shared" si="6"/>
        <v>400</v>
      </c>
      <c r="W10" s="2"/>
      <c r="X10" s="18">
        <f>_xlfn.XLOOKUP(A10,Foaie2!A:A,Foaie2!C:C,0)</f>
        <v>1</v>
      </c>
      <c r="Y10" s="19">
        <f t="shared" si="0"/>
        <v>300</v>
      </c>
      <c r="Z10" s="20">
        <f>_xlfn.XLOOKUP(A10,Foaie2!A:A,Foaie2!D:D,0)</f>
        <v>7.4999999999999997E-3</v>
      </c>
      <c r="AA10" s="18">
        <f t="shared" si="1"/>
        <v>2.25</v>
      </c>
      <c r="AB10" s="20">
        <f>_xlfn.XLOOKUP(A10,Foaie2!A:A,Foaie2!E:E,0)</f>
        <v>1.5E-3</v>
      </c>
      <c r="AC10" s="18">
        <f>_xlfn.XLOOKUP(A10,Foaie2!A:A,Foaie2!G:G,0)</f>
        <v>1</v>
      </c>
      <c r="AD10" s="19">
        <f t="shared" si="2"/>
        <v>100</v>
      </c>
      <c r="AE10" s="20">
        <f>_xlfn.XLOOKUP(A10,Foaie2!A:A,Foaie2!H:H,0)</f>
        <v>5.4999999999999997E-3</v>
      </c>
      <c r="AF10" s="18">
        <f t="shared" si="3"/>
        <v>0.54999999999999993</v>
      </c>
      <c r="AG10" s="20">
        <f>_xlfn.XLOOKUP(A10,Foaie2!A:A,Foaie2!I:I,0)</f>
        <v>1.5E-3</v>
      </c>
      <c r="AH10" s="18">
        <f>_xlfn.XLOOKUP(A10,Foaie2!A:A,Foaie2!K:K,0)</f>
        <v>1</v>
      </c>
      <c r="AI10" s="19">
        <f t="shared" si="4"/>
        <v>0</v>
      </c>
      <c r="AJ10" s="20">
        <f>_xlfn.XLOOKUP(A10,Foaie2!A:A,Foaie2!L:L,0)</f>
        <v>3.5000000000000001E-3</v>
      </c>
      <c r="AK10" s="18">
        <f t="shared" si="5"/>
        <v>0</v>
      </c>
      <c r="AL10" s="20">
        <f>_xlfn.XLOOKUP(A10,Foaie2!A:A,Foaie2!M:M,0)</f>
        <v>1.5E-3</v>
      </c>
    </row>
    <row r="11" spans="1:38" x14ac:dyDescent="0.2">
      <c r="A11" s="44" t="s">
        <v>11</v>
      </c>
      <c r="B11" s="45">
        <v>300</v>
      </c>
      <c r="C11" s="45">
        <v>250</v>
      </c>
      <c r="D11" s="46">
        <v>200</v>
      </c>
      <c r="E11" s="41">
        <f t="shared" si="6"/>
        <v>750</v>
      </c>
      <c r="W11" s="2"/>
      <c r="X11" s="18">
        <f>_xlfn.XLOOKUP(A11,Foaie2!A:A,Foaie2!C:C,0)</f>
        <v>0.6</v>
      </c>
      <c r="Y11" s="19">
        <f t="shared" si="0"/>
        <v>500</v>
      </c>
      <c r="Z11" s="20">
        <f>_xlfn.XLOOKUP(A11,Foaie2!A:A,Foaie2!D:D,0)</f>
        <v>3.0000000000000001E-3</v>
      </c>
      <c r="AA11" s="18">
        <f t="shared" si="1"/>
        <v>1.5</v>
      </c>
      <c r="AB11" s="20">
        <f>_xlfn.XLOOKUP(A11,Foaie2!A:A,Foaie2!E:E,0)</f>
        <v>5.0000000000000001E-4</v>
      </c>
      <c r="AC11" s="18">
        <f>_xlfn.XLOOKUP(A11,Foaie2!A:A,Foaie2!G:G,0)</f>
        <v>0.6</v>
      </c>
      <c r="AD11" s="19">
        <f t="shared" si="2"/>
        <v>416.66666666666669</v>
      </c>
      <c r="AE11" s="20">
        <f>_xlfn.XLOOKUP(A11,Foaie2!A:A,Foaie2!H:H,0)</f>
        <v>1.5E-3</v>
      </c>
      <c r="AF11" s="18">
        <f t="shared" si="3"/>
        <v>0.625</v>
      </c>
      <c r="AG11" s="20">
        <f>_xlfn.XLOOKUP(A11,Foaie2!A:A,Foaie2!I:I,0)</f>
        <v>5.0000000000000001E-4</v>
      </c>
      <c r="AH11" s="18">
        <f>_xlfn.XLOOKUP(A11,Foaie2!A:A,Foaie2!K:K,0)</f>
        <v>0.6</v>
      </c>
      <c r="AI11" s="19">
        <f t="shared" si="4"/>
        <v>333.33333333333337</v>
      </c>
      <c r="AJ11" s="20">
        <f>_xlfn.XLOOKUP(A11,Foaie2!A:A,Foaie2!L:L,0)</f>
        <v>1.5E-3</v>
      </c>
      <c r="AK11" s="18">
        <f t="shared" si="5"/>
        <v>0.50000000000000011</v>
      </c>
      <c r="AL11" s="20">
        <f>_xlfn.XLOOKUP(A11,Foaie2!A:A,Foaie2!M:M,0)</f>
        <v>5.0000000000000001E-4</v>
      </c>
    </row>
    <row r="12" spans="1:38" x14ac:dyDescent="0.2">
      <c r="A12" s="44" t="s">
        <v>15</v>
      </c>
      <c r="B12" s="45">
        <v>500</v>
      </c>
      <c r="C12" s="45">
        <v>100</v>
      </c>
      <c r="D12" s="46">
        <v>150</v>
      </c>
      <c r="E12" s="41">
        <f t="shared" si="6"/>
        <v>750</v>
      </c>
      <c r="W12" s="2"/>
      <c r="X12" s="18">
        <f>_xlfn.XLOOKUP(A12,Foaie2!A:A,Foaie2!C:C,0)</f>
        <v>0.4</v>
      </c>
      <c r="Y12" s="19">
        <f t="shared" si="0"/>
        <v>1250</v>
      </c>
      <c r="Z12" s="20">
        <f>_xlfn.XLOOKUP(A12,Foaie2!A:A,Foaie2!D:D,0)</f>
        <v>5.0000000000000001E-3</v>
      </c>
      <c r="AA12" s="18">
        <f t="shared" si="1"/>
        <v>6.25</v>
      </c>
      <c r="AB12" s="20">
        <f>_xlfn.XLOOKUP(A12,Foaie2!A:A,Foaie2!E:E,0)</f>
        <v>1E-3</v>
      </c>
      <c r="AC12" s="18">
        <f>_xlfn.XLOOKUP(A12,Foaie2!A:A,Foaie2!G:G,0)</f>
        <v>0.4</v>
      </c>
      <c r="AD12" s="19">
        <f t="shared" si="2"/>
        <v>250</v>
      </c>
      <c r="AE12" s="20">
        <f>_xlfn.XLOOKUP(A12,Foaie2!A:A,Foaie2!H:H,0)</f>
        <v>2.5000000000000001E-3</v>
      </c>
      <c r="AF12" s="18">
        <f t="shared" si="3"/>
        <v>0.625</v>
      </c>
      <c r="AG12" s="20">
        <f>_xlfn.XLOOKUP(A12,Foaie2!A:A,Foaie2!I:I,0)</f>
        <v>1E-3</v>
      </c>
      <c r="AH12" s="18">
        <f>_xlfn.XLOOKUP(A12,Foaie2!A:A,Foaie2!K:K,0)</f>
        <v>0.4</v>
      </c>
      <c r="AI12" s="19">
        <f t="shared" si="4"/>
        <v>375</v>
      </c>
      <c r="AJ12" s="20">
        <f>_xlfn.XLOOKUP(A12,Foaie2!A:A,Foaie2!L:L,0)</f>
        <v>2.5000000000000001E-3</v>
      </c>
      <c r="AK12" s="18">
        <f t="shared" si="5"/>
        <v>0.9375</v>
      </c>
      <c r="AL12" s="20">
        <f>_xlfn.XLOOKUP(A12,Foaie2!A:A,Foaie2!M:M,0)</f>
        <v>1E-3</v>
      </c>
    </row>
    <row r="13" spans="1:38" s="4" customFormat="1" x14ac:dyDescent="0.2">
      <c r="A13" s="21" t="s">
        <v>33</v>
      </c>
      <c r="B13" s="22">
        <f>SUM(B7:B12)</f>
        <v>2400</v>
      </c>
      <c r="C13" s="22">
        <f>SUM(C7:C12)</f>
        <v>1300</v>
      </c>
      <c r="D13" s="26">
        <f>SUM(D7:D12)</f>
        <v>650</v>
      </c>
      <c r="E13" s="22">
        <f>B13+C13+D13</f>
        <v>4350</v>
      </c>
      <c r="F13" s="36">
        <f>E13/B2</f>
        <v>0.435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5"/>
      <c r="X13" s="23"/>
      <c r="Y13" s="24">
        <f>SUM(Y7:Y12)</f>
        <v>12116.666666666668</v>
      </c>
      <c r="Z13" s="25">
        <f>IFERROR(SUMPRODUCT(Y7:Y12,Z7:Z12)/SUM(Y7:Y12),0)</f>
        <v>2.8885832187070149E-3</v>
      </c>
      <c r="AA13" s="23">
        <f>SUM(AA7:AA12)</f>
        <v>35</v>
      </c>
      <c r="AB13" s="21"/>
      <c r="AC13" s="21"/>
      <c r="AD13" s="24">
        <f>SUM(AD7:AD12)</f>
        <v>8466.6666666666661</v>
      </c>
      <c r="AE13" s="25">
        <f>IFERROR(SUMPRODUCT(AD7:AD12,AE7:AE12)/SUM(AD7:AD12),0)</f>
        <v>1.3267716535433074E-3</v>
      </c>
      <c r="AF13" s="23">
        <f>SUM(AF7:AF12)</f>
        <v>11.233333333333334</v>
      </c>
      <c r="AG13" s="21"/>
      <c r="AH13" s="21"/>
      <c r="AI13" s="24">
        <f>SUM(AI7:AI12)</f>
        <v>5708.333333333333</v>
      </c>
      <c r="AJ13" s="25">
        <f>IFERROR(SUMPRODUCT(AI7:AI12,AJ7:AJ12)/SUM(AI7:AI12),0)</f>
        <v>1.1277372262773722E-3</v>
      </c>
      <c r="AK13" s="23">
        <f>SUM(AK7:AK12)</f>
        <v>6.4375</v>
      </c>
      <c r="AL13" s="21"/>
    </row>
    <row r="15" spans="1:38" x14ac:dyDescent="0.2">
      <c r="A15" s="14" t="s">
        <v>1</v>
      </c>
      <c r="B15" s="15"/>
      <c r="C15" s="16"/>
      <c r="D15" s="16"/>
      <c r="E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7"/>
    </row>
    <row r="16" spans="1:38" x14ac:dyDescent="0.2">
      <c r="A16" s="47" t="s">
        <v>13</v>
      </c>
      <c r="B16" s="48"/>
      <c r="C16" s="48">
        <v>200</v>
      </c>
      <c r="D16" s="49">
        <v>150</v>
      </c>
      <c r="E16" s="40">
        <f>SUM(B16:D16)</f>
        <v>350</v>
      </c>
      <c r="X16" s="29"/>
      <c r="Y16" s="30"/>
      <c r="Z16" s="31"/>
      <c r="AA16" s="29"/>
      <c r="AB16" s="31"/>
      <c r="AC16" s="29">
        <f>_xlfn.XLOOKUP(A16,Foaie2!A:A,Foaie2!G:G,0)</f>
        <v>0.5</v>
      </c>
      <c r="AD16" s="30">
        <f>IFERROR(C16/AC16,0)</f>
        <v>400</v>
      </c>
      <c r="AE16" s="31">
        <f>_xlfn.XLOOKUP(A16,Foaie2!A:A,Foaie2!H:H,0)</f>
        <v>0.01</v>
      </c>
      <c r="AF16" s="29">
        <f t="shared" ref="AF16:AF19" si="7">AD16*AE16</f>
        <v>4</v>
      </c>
      <c r="AG16" s="31">
        <f>_xlfn.XLOOKUP(A16,Foaie2!A:A,Foaie2!I:I,0)</f>
        <v>1.5E-3</v>
      </c>
      <c r="AH16" s="29">
        <f>_xlfn.XLOOKUP(A16,Foaie2!A:A,Foaie2!K:K,0)</f>
        <v>0.5</v>
      </c>
      <c r="AI16" s="30">
        <f>IFERROR(D16/AH16,0)</f>
        <v>300</v>
      </c>
      <c r="AJ16" s="31">
        <f>_xlfn.XLOOKUP(A16,Foaie2!A:A,Foaie2!L:L,0)</f>
        <v>0.01</v>
      </c>
      <c r="AK16" s="29">
        <f t="shared" ref="AK16:AK19" si="8">AI16*AJ16</f>
        <v>3</v>
      </c>
      <c r="AL16" s="31">
        <f>_xlfn.XLOOKUP(A17,Foaie2!A:A,Foaie2!M:M,0)</f>
        <v>4.0000000000000001E-3</v>
      </c>
    </row>
    <row r="17" spans="1:38" x14ac:dyDescent="0.2">
      <c r="A17" s="47" t="s">
        <v>16</v>
      </c>
      <c r="B17" s="48"/>
      <c r="C17" s="48">
        <v>1200</v>
      </c>
      <c r="D17" s="49"/>
      <c r="E17" s="40">
        <f t="shared" ref="E17:E18" si="9">SUM(B17:D17)</f>
        <v>1200</v>
      </c>
      <c r="X17" s="29"/>
      <c r="Y17" s="30"/>
      <c r="Z17" s="31"/>
      <c r="AA17" s="29"/>
      <c r="AB17" s="31"/>
      <c r="AC17" s="29">
        <f>_xlfn.XLOOKUP(A17,Foaie2!A:A,Foaie2!G:G,0)</f>
        <v>0.3</v>
      </c>
      <c r="AD17" s="30">
        <f>IFERROR(C17/AC17,0)</f>
        <v>4000</v>
      </c>
      <c r="AE17" s="31">
        <f>_xlfn.XLOOKUP(A17,Foaie2!A:A,Foaie2!H:H,0)</f>
        <v>1.2E-2</v>
      </c>
      <c r="AF17" s="29">
        <f t="shared" si="7"/>
        <v>48</v>
      </c>
      <c r="AG17" s="31">
        <f>_xlfn.XLOOKUP(A17,Foaie2!A:A,Foaie2!I:I,0)</f>
        <v>4.0000000000000001E-3</v>
      </c>
      <c r="AH17" s="29">
        <f>_xlfn.XLOOKUP(A17,Foaie2!A:A,Foaie2!K:K,0)</f>
        <v>0.3</v>
      </c>
      <c r="AI17" s="30">
        <f>IFERROR(D17/AH17,0)</f>
        <v>0</v>
      </c>
      <c r="AJ17" s="31">
        <f>_xlfn.XLOOKUP(A17,Foaie2!A:A,Foaie2!L:L,0)</f>
        <v>1.2E-2</v>
      </c>
      <c r="AK17" s="29">
        <f t="shared" si="8"/>
        <v>0</v>
      </c>
      <c r="AL17" s="31">
        <f>_xlfn.XLOOKUP(A18,Foaie2!A:A,Foaie2!M:M,0)</f>
        <v>5.0000000000000001E-4</v>
      </c>
    </row>
    <row r="18" spans="1:38" x14ac:dyDescent="0.2">
      <c r="A18" s="47" t="s">
        <v>17</v>
      </c>
      <c r="B18" s="48"/>
      <c r="C18" s="48">
        <v>100</v>
      </c>
      <c r="D18" s="49"/>
      <c r="E18" s="40">
        <f t="shared" si="9"/>
        <v>100</v>
      </c>
      <c r="X18" s="29"/>
      <c r="Y18" s="30"/>
      <c r="Z18" s="31"/>
      <c r="AA18" s="29"/>
      <c r="AB18" s="31"/>
      <c r="AC18" s="29">
        <f>_xlfn.XLOOKUP(A18,Foaie2!A:A,Foaie2!G:G,0)</f>
        <v>0.25</v>
      </c>
      <c r="AD18" s="30">
        <f>IFERROR(C18/AC18,0)</f>
        <v>400</v>
      </c>
      <c r="AE18" s="31">
        <f>_xlfn.XLOOKUP(A18,Foaie2!A:A,Foaie2!H:H,0)</f>
        <v>4.4999999999999997E-3</v>
      </c>
      <c r="AF18" s="29">
        <f t="shared" si="7"/>
        <v>1.7999999999999998</v>
      </c>
      <c r="AG18" s="31">
        <f>_xlfn.XLOOKUP(A18,Foaie2!A:A,Foaie2!I:I,0)</f>
        <v>5.0000000000000001E-4</v>
      </c>
      <c r="AH18" s="29">
        <f>_xlfn.XLOOKUP(A18,Foaie2!A:A,Foaie2!K:K,0)</f>
        <v>0.25</v>
      </c>
      <c r="AI18" s="30">
        <f>IFERROR(D18/AH18,0)</f>
        <v>0</v>
      </c>
      <c r="AJ18" s="31">
        <f>_xlfn.XLOOKUP(A18,Foaie2!A:A,Foaie2!L:L,0)</f>
        <v>4.4999999999999997E-3</v>
      </c>
      <c r="AK18" s="29">
        <f t="shared" si="8"/>
        <v>0</v>
      </c>
      <c r="AL18" s="31">
        <f>_xlfn.XLOOKUP(A19,Foaie2!A:A,Foaie2!M:M,0)</f>
        <v>5.0000000000000001E-4</v>
      </c>
    </row>
    <row r="19" spans="1:38" x14ac:dyDescent="0.2">
      <c r="A19" s="47" t="s">
        <v>18</v>
      </c>
      <c r="B19" s="48"/>
      <c r="C19" s="48">
        <v>200</v>
      </c>
      <c r="D19" s="49"/>
      <c r="E19" s="40">
        <f>SUM(B19:D19)</f>
        <v>200</v>
      </c>
      <c r="X19" s="29"/>
      <c r="Y19" s="30"/>
      <c r="Z19" s="31"/>
      <c r="AA19" s="29"/>
      <c r="AB19" s="31"/>
      <c r="AC19" s="29">
        <f>_xlfn.XLOOKUP(A19,Foaie2!A:A,Foaie2!G:G,0)</f>
        <v>1</v>
      </c>
      <c r="AD19" s="30">
        <f>IFERROR(C19/AC19,0)</f>
        <v>200</v>
      </c>
      <c r="AE19" s="31">
        <f>_xlfn.XLOOKUP(A19,Foaie2!A:A,Foaie2!H:H,0)</f>
        <v>6.4999999999999997E-3</v>
      </c>
      <c r="AF19" s="29">
        <f t="shared" si="7"/>
        <v>1.3</v>
      </c>
      <c r="AG19" s="31">
        <f>_xlfn.XLOOKUP(A19,Foaie2!A:A,Foaie2!I:I,0)</f>
        <v>5.0000000000000001E-4</v>
      </c>
      <c r="AH19" s="29">
        <f>_xlfn.XLOOKUP(A19,Foaie2!A:A,Foaie2!K:K,0)</f>
        <v>1</v>
      </c>
      <c r="AI19" s="30">
        <f>IFERROR(D19/AH19,0)</f>
        <v>0</v>
      </c>
      <c r="AJ19" s="31">
        <f>_xlfn.XLOOKUP(A19,Foaie2!A:A,Foaie2!L:L,0)</f>
        <v>6.4999999999999997E-3</v>
      </c>
      <c r="AK19" s="29">
        <f t="shared" si="8"/>
        <v>0</v>
      </c>
      <c r="AL19" s="31">
        <f>_xlfn.XLOOKUP(A20,Foaie2!A:A,Foaie2!M:M,0)</f>
        <v>0</v>
      </c>
    </row>
    <row r="20" spans="1:38" s="4" customFormat="1" x14ac:dyDescent="0.2">
      <c r="A20" s="32" t="s">
        <v>34</v>
      </c>
      <c r="B20" s="33">
        <f>SUM(B16:B19)</f>
        <v>0</v>
      </c>
      <c r="C20" s="33">
        <f>SUM(C16:C19)</f>
        <v>1700</v>
      </c>
      <c r="D20" s="33">
        <f>SUM(D16:D19)</f>
        <v>150</v>
      </c>
      <c r="E20" s="28">
        <f>B20+C20+D20</f>
        <v>1850</v>
      </c>
      <c r="F20" s="36">
        <f>E20/B2</f>
        <v>0.185</v>
      </c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X20" s="32"/>
      <c r="Y20" s="34">
        <f>SUM(Y16:Y19)</f>
        <v>0</v>
      </c>
      <c r="Z20" s="35">
        <f>IFERROR(SUMPRODUCT(Y16:Y19,Z16:Z19)/SUM(Y16:Y19),0)</f>
        <v>0</v>
      </c>
      <c r="AA20" s="34">
        <f>SUM(AA16:AA19)</f>
        <v>0</v>
      </c>
      <c r="AB20" s="32"/>
      <c r="AC20" s="32"/>
      <c r="AD20" s="34">
        <f>SUM(AD16:AD19)</f>
        <v>5000</v>
      </c>
      <c r="AE20" s="35">
        <f>IFERROR(SUMPRODUCT(AD16:AD19,AE16:AE19)/SUM(AD16:AD19),0)</f>
        <v>1.1019999999999999E-2</v>
      </c>
      <c r="AF20" s="34">
        <f>SUM(AF16:AF19)</f>
        <v>55.099999999999994</v>
      </c>
      <c r="AG20" s="32"/>
      <c r="AH20" s="32"/>
      <c r="AI20" s="34">
        <f>SUM(AI16:AI19)</f>
        <v>300</v>
      </c>
      <c r="AJ20" s="35">
        <f>IFERROR(SUMPRODUCT(AI16:AI19,AJ16:AJ19)/SUM(AI16:AI19),0)</f>
        <v>0.01</v>
      </c>
      <c r="AK20" s="34">
        <f>SUM(AK16:AK19)</f>
        <v>3</v>
      </c>
      <c r="AL20" s="32"/>
    </row>
    <row r="21" spans="1:38" x14ac:dyDescent="0.2">
      <c r="AL21" s="11"/>
    </row>
    <row r="22" spans="1:38" x14ac:dyDescent="0.2">
      <c r="A22" s="14" t="s">
        <v>2</v>
      </c>
      <c r="B22" s="15"/>
      <c r="C22" s="16"/>
      <c r="D22" s="16"/>
      <c r="E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7"/>
    </row>
    <row r="23" spans="1:38" x14ac:dyDescent="0.2">
      <c r="A23" s="47" t="s">
        <v>21</v>
      </c>
      <c r="B23" s="48">
        <v>200</v>
      </c>
      <c r="C23" s="48">
        <v>800</v>
      </c>
      <c r="D23" s="49">
        <v>1150</v>
      </c>
      <c r="E23" s="40">
        <f t="shared" ref="E23:E24" si="10">SUM(B23:D23)</f>
        <v>2150</v>
      </c>
      <c r="X23" s="29">
        <f>_xlfn.XLOOKUP(A23,Foaie2!A:A,Foaie2!C:C,0)</f>
        <v>0.45</v>
      </c>
      <c r="Y23" s="30">
        <f>IFERROR(B23/X23,0)</f>
        <v>444.44444444444446</v>
      </c>
      <c r="Z23" s="31">
        <f>_xlfn.XLOOKUP(A23,Foaie2!A:A,Foaie2!D:D,0)</f>
        <v>1.7999999999999999E-2</v>
      </c>
      <c r="AA23" s="29">
        <f>Y23*Z23</f>
        <v>8</v>
      </c>
      <c r="AB23" s="31">
        <f>_xlfn.XLOOKUP(A23,Foaie2!A:A,Foaie2!E:E,0)</f>
        <v>1.5E-3</v>
      </c>
      <c r="AC23" s="29">
        <f>_xlfn.XLOOKUP(A23,Foaie2!A:A,Foaie2!G:G,0)</f>
        <v>0.45</v>
      </c>
      <c r="AD23" s="30">
        <f>IFERROR(C23/AC23,0)</f>
        <v>1777.7777777777778</v>
      </c>
      <c r="AE23" s="31">
        <f>_xlfn.XLOOKUP(A23,Foaie2!A:A,Foaie2!H:H,0)</f>
        <v>2.1999999999999999E-2</v>
      </c>
      <c r="AF23" s="29">
        <f t="shared" ref="AF23:AF24" si="11">AD23*AE23</f>
        <v>39.111111111111107</v>
      </c>
      <c r="AG23" s="31">
        <f>_xlfn.XLOOKUP(A23,Foaie2!A:A,Foaie2!I:I,0)</f>
        <v>1.5E-3</v>
      </c>
      <c r="AH23" s="29">
        <f>_xlfn.XLOOKUP(A23,Foaie2!A:A,Foaie2!K:K,0)</f>
        <v>0.45</v>
      </c>
      <c r="AI23" s="30">
        <f>IFERROR(D23/AH23,0)</f>
        <v>2555.5555555555557</v>
      </c>
      <c r="AJ23" s="31">
        <f>_xlfn.XLOOKUP(A23,Foaie2!A:A,Foaie2!L:L,0)</f>
        <v>2.5999999999999999E-2</v>
      </c>
      <c r="AK23" s="29">
        <f t="shared" ref="AK23:AK24" si="12">AI23*AJ23</f>
        <v>66.444444444444443</v>
      </c>
      <c r="AL23" s="27"/>
    </row>
    <row r="24" spans="1:38" x14ac:dyDescent="0.2">
      <c r="A24" s="47" t="s">
        <v>20</v>
      </c>
      <c r="B24" s="48">
        <v>150</v>
      </c>
      <c r="C24" s="48">
        <v>650</v>
      </c>
      <c r="D24" s="49">
        <v>850</v>
      </c>
      <c r="E24" s="40">
        <f t="shared" si="10"/>
        <v>1650</v>
      </c>
      <c r="X24" s="29">
        <f>_xlfn.XLOOKUP(A24,Foaie2!A:A,Foaie2!C:C,0)</f>
        <v>0.8</v>
      </c>
      <c r="Y24" s="30">
        <f>IFERROR(B24/X24,0)</f>
        <v>187.5</v>
      </c>
      <c r="Z24" s="31">
        <f>_xlfn.XLOOKUP(A24,Foaie2!A:A,Foaie2!D:D,0)</f>
        <v>2.1999999999999999E-2</v>
      </c>
      <c r="AA24" s="29">
        <f>Y24*Z24</f>
        <v>4.125</v>
      </c>
      <c r="AB24" s="31">
        <f>_xlfn.XLOOKUP(A24,Foaie2!A:A,Foaie2!E:E,0)</f>
        <v>1.5E-3</v>
      </c>
      <c r="AC24" s="29">
        <f>_xlfn.XLOOKUP(A24,Foaie2!A:A,Foaie2!G:G,0)</f>
        <v>0.8</v>
      </c>
      <c r="AD24" s="30">
        <f>IFERROR(C24/AC24,0)</f>
        <v>812.5</v>
      </c>
      <c r="AE24" s="31">
        <f>_xlfn.XLOOKUP(A24,Foaie2!A:A,Foaie2!H:H,0)</f>
        <v>2.5000000000000001E-2</v>
      </c>
      <c r="AF24" s="29">
        <f t="shared" si="11"/>
        <v>20.3125</v>
      </c>
      <c r="AG24" s="31">
        <f>_xlfn.XLOOKUP(A24,Foaie2!A:A,Foaie2!I:I,0)</f>
        <v>1.5E-3</v>
      </c>
      <c r="AH24" s="29">
        <f>_xlfn.XLOOKUP(A24,Foaie2!A:A,Foaie2!K:K,0)</f>
        <v>0.8</v>
      </c>
      <c r="AI24" s="30">
        <f>IFERROR(D24/AH24,0)</f>
        <v>1062.5</v>
      </c>
      <c r="AJ24" s="31">
        <f>_xlfn.XLOOKUP(A24,Foaie2!A:A,Foaie2!L:L,0)</f>
        <v>2.8000000000000001E-2</v>
      </c>
      <c r="AK24" s="29">
        <f t="shared" si="12"/>
        <v>29.75</v>
      </c>
      <c r="AL24" s="27"/>
    </row>
    <row r="25" spans="1:38" s="4" customFormat="1" x14ac:dyDescent="0.2">
      <c r="A25" s="32" t="s">
        <v>35</v>
      </c>
      <c r="B25" s="33">
        <f>SUM(B23:B24)</f>
        <v>350</v>
      </c>
      <c r="C25" s="33">
        <f>SUM(C23:C24)</f>
        <v>1450</v>
      </c>
      <c r="D25" s="33">
        <f>SUM(D23:D24)</f>
        <v>2000</v>
      </c>
      <c r="E25" s="28">
        <f>B25+C25+D25</f>
        <v>3800</v>
      </c>
      <c r="F25" s="36">
        <f>E25/B2</f>
        <v>0.38</v>
      </c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X25" s="32"/>
      <c r="Y25" s="34">
        <f>SUM(Y23:Y24)</f>
        <v>631.94444444444446</v>
      </c>
      <c r="Z25" s="35" cm="1">
        <f t="array" ref="Z25">IFERROR(SUMPRODUCT(Y23:Y24*Z23:Z24)/SUM(Y23:Y24),0)</f>
        <v>1.9186813186813187E-2</v>
      </c>
      <c r="AA25" s="34">
        <f>Y25*Z25</f>
        <v>12.125</v>
      </c>
      <c r="AB25" s="32"/>
      <c r="AC25" s="35"/>
      <c r="AD25" s="34">
        <f>SUM(AD23:AD24)</f>
        <v>2590.2777777777778</v>
      </c>
      <c r="AE25" s="35" cm="1">
        <f t="array" ref="AE25">IFERROR(SUMPRODUCT(AD23:AD24*AE23:AE24)/SUM(AD23:AD24),0)</f>
        <v>2.2941018766756031E-2</v>
      </c>
      <c r="AF25" s="34">
        <f>SUM(AF23:AF24)</f>
        <v>59.423611111111107</v>
      </c>
      <c r="AG25" s="32"/>
      <c r="AH25" s="32"/>
      <c r="AI25" s="34">
        <f>SUM(AI23:AI24)</f>
        <v>3618.0555555555557</v>
      </c>
      <c r="AJ25" s="35" cm="1">
        <f t="array" ref="AJ25">IFERROR(SUMPRODUCT(AI23:AI24*AJ23:AJ24)/SUM(AI23:AI24),0)</f>
        <v>2.65873320537428E-2</v>
      </c>
      <c r="AK25" s="34">
        <f>SUM(AK23:AK24)</f>
        <v>96.194444444444443</v>
      </c>
      <c r="AL25" s="32"/>
    </row>
    <row r="26" spans="1:38" s="4" customFormat="1" x14ac:dyDescent="0.2">
      <c r="B26" s="5"/>
      <c r="C26" s="5"/>
      <c r="D26" s="5"/>
      <c r="E26" s="51"/>
      <c r="Y26" s="6"/>
      <c r="Z26" s="52"/>
      <c r="AA26" s="6"/>
      <c r="AC26" s="52"/>
      <c r="AD26" s="6"/>
      <c r="AE26" s="52"/>
      <c r="AF26" s="6"/>
      <c r="AI26" s="6"/>
      <c r="AJ26" s="52"/>
      <c r="AK26" s="6"/>
    </row>
    <row r="27" spans="1:38" s="4" customFormat="1" x14ac:dyDescent="0.2">
      <c r="B27" s="5"/>
      <c r="C27" s="5"/>
      <c r="D27" s="8"/>
      <c r="Y27" s="6"/>
      <c r="Z27" s="7"/>
      <c r="AA27" s="6"/>
      <c r="AC27" s="7"/>
      <c r="AD27" s="6"/>
      <c r="AE27" s="7"/>
      <c r="AF27" s="6"/>
      <c r="AI27" s="6"/>
      <c r="AJ27" s="7"/>
      <c r="AK27" s="6"/>
    </row>
    <row r="28" spans="1:38" s="4" customFormat="1" x14ac:dyDescent="0.2">
      <c r="A28" s="4" t="s">
        <v>36</v>
      </c>
      <c r="B28" s="8">
        <f>B13+B20+B25</f>
        <v>2750</v>
      </c>
      <c r="C28" s="8">
        <f>C13+C20+C25</f>
        <v>4450</v>
      </c>
      <c r="D28" s="8">
        <f>D13+D20+D25</f>
        <v>2800</v>
      </c>
      <c r="Y28" s="6">
        <f>Y13+Y20+Y25</f>
        <v>12748.611111111113</v>
      </c>
      <c r="Z28" s="7">
        <f>(Z13+Z20+Z25)/3</f>
        <v>7.3584654685067341E-3</v>
      </c>
      <c r="AA28" s="9">
        <f>AA13+AA20+AA25</f>
        <v>47.125</v>
      </c>
      <c r="AD28" s="6">
        <f>AD13+AD20+AD25</f>
        <v>16056.944444444443</v>
      </c>
      <c r="AE28" s="7">
        <f>(AE13+AE20+AE25)/3</f>
        <v>1.1762596806766445E-2</v>
      </c>
      <c r="AF28" s="9">
        <f>AF13+AF20+AF25</f>
        <v>125.75694444444443</v>
      </c>
      <c r="AI28" s="6">
        <f>AI13+AI20+AI25</f>
        <v>9626.3888888888887</v>
      </c>
      <c r="AJ28" s="7">
        <f>(AJ13+AJ20+AJ25)/3</f>
        <v>1.2571689760006723E-2</v>
      </c>
      <c r="AK28" s="9">
        <f>AK13+AK20+AK25</f>
        <v>105.63194444444444</v>
      </c>
    </row>
    <row r="29" spans="1:38" x14ac:dyDescent="0.2">
      <c r="A29" t="s">
        <v>30</v>
      </c>
      <c r="B29" s="3">
        <f>C28+D28+B28</f>
        <v>10000</v>
      </c>
      <c r="C29" s="3"/>
      <c r="D29" s="3"/>
      <c r="AA29" s="2"/>
      <c r="AI29" s="2"/>
      <c r="AK29" s="2"/>
    </row>
    <row r="30" spans="1:38" x14ac:dyDescent="0.2">
      <c r="A30" t="s">
        <v>7</v>
      </c>
      <c r="B30" s="1">
        <f>((Z28+AE28+AJ28)/3)*AA30*AA31</f>
        <v>2.6938839229987917E-2</v>
      </c>
      <c r="C30" s="3"/>
      <c r="D30" s="3"/>
      <c r="X30" s="6" t="s">
        <v>0</v>
      </c>
      <c r="Y30" s="37">
        <f>IF(F13&gt;0.42,1.7,0)</f>
        <v>1.7</v>
      </c>
      <c r="Z30" s="6">
        <v>1</v>
      </c>
      <c r="AA30" s="38">
        <f>MAX(Y30:Z30)</f>
        <v>1.7</v>
      </c>
    </row>
    <row r="31" spans="1:38" x14ac:dyDescent="0.2">
      <c r="A31" t="s">
        <v>31</v>
      </c>
      <c r="B31" s="2">
        <f>(AA28+AF28+AK28)*AA30*AA31</f>
        <v>710.21041666666656</v>
      </c>
      <c r="C31" s="3"/>
      <c r="D31" s="3"/>
      <c r="X31" s="6" t="s">
        <v>1</v>
      </c>
      <c r="Y31" s="37">
        <f>IF(F20&gt;0.14,1.5,0)</f>
        <v>1.5</v>
      </c>
      <c r="Z31" s="6">
        <v>1</v>
      </c>
      <c r="AA31" s="38">
        <f>MAX(Y31:Z31)</f>
        <v>1.5</v>
      </c>
    </row>
    <row r="32" spans="1:38" x14ac:dyDescent="0.2">
      <c r="A32" t="s">
        <v>32</v>
      </c>
      <c r="B32" s="3">
        <f>IFERROR(B29/B31,0)</f>
        <v>14.080334173264381</v>
      </c>
      <c r="C32" s="3"/>
      <c r="D32" s="3"/>
    </row>
    <row r="33" spans="1:4" x14ac:dyDescent="0.2">
      <c r="A33" t="s">
        <v>37</v>
      </c>
      <c r="B33" s="50">
        <v>0.05</v>
      </c>
      <c r="C33" s="3"/>
      <c r="D33" s="3"/>
    </row>
    <row r="34" spans="1:4" x14ac:dyDescent="0.2">
      <c r="A34" t="s">
        <v>26</v>
      </c>
      <c r="B34" s="39">
        <f>B31*B33</f>
        <v>35.510520833333331</v>
      </c>
    </row>
  </sheetData>
  <mergeCells count="4">
    <mergeCell ref="X4:AB4"/>
    <mergeCell ref="AC4:AG4"/>
    <mergeCell ref="AH4:AL4"/>
    <mergeCell ref="B4:D4"/>
  </mergeCells>
  <pageMargins left="0.7" right="0.7" top="0.75" bottom="0.75" header="0.3" footer="0.3"/>
  <ignoredErrors>
    <ignoredError sqref="F28 F13:F16 F27 C20 F18:F19 F17 F21:F24 C21:C22 C27 C13:C15 C28 C25 D20 D21:D22 D27 D13:D15 D28 D25 E20 E21:E22 E27 E13:E15 E28 E25" formula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34C7360-37A1-4282-9C34-D6947989DEE0}">
          <x14:formula1>
            <xm:f>Foaie2!$A$5:$A$12</xm:f>
          </x14:formula1>
          <xm:sqref>A7:A12</xm:sqref>
        </x14:dataValidation>
        <x14:dataValidation type="list" allowBlank="1" showInputMessage="1" showErrorMessage="1" xr:uid="{D92EB4B9-3F0F-40E0-A109-12653C98F919}">
          <x14:formula1>
            <xm:f>Foaie2!$A$16:$A$21</xm:f>
          </x14:formula1>
          <xm:sqref>A16:A19</xm:sqref>
        </x14:dataValidation>
        <x14:dataValidation type="list" allowBlank="1" showInputMessage="1" showErrorMessage="1" xr:uid="{0BC47E52-F816-4E33-913C-CA25B4793E4A}">
          <x14:formula1>
            <xm:f>Foaie2!$A$25:$A$27</xm:f>
          </x14:formula1>
          <xm:sqref>A23:A24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720E0-378F-44EB-BD34-5E391386602B}">
  <dimension ref="A2:Q27"/>
  <sheetViews>
    <sheetView workbookViewId="0">
      <selection activeCell="H28" sqref="H28"/>
    </sheetView>
  </sheetViews>
  <sheetFormatPr baseColWidth="10" defaultColWidth="8.83203125" defaultRowHeight="15" x14ac:dyDescent="0.2"/>
  <cols>
    <col min="1" max="1" width="36.6640625" bestFit="1" customWidth="1"/>
  </cols>
  <sheetData>
    <row r="2" spans="1:17" x14ac:dyDescent="0.2">
      <c r="B2" t="s">
        <v>3</v>
      </c>
      <c r="F2" t="s">
        <v>4</v>
      </c>
      <c r="J2" t="s">
        <v>5</v>
      </c>
    </row>
    <row r="3" spans="1:17" x14ac:dyDescent="0.2">
      <c r="A3" t="s">
        <v>0</v>
      </c>
    </row>
    <row r="4" spans="1:17" x14ac:dyDescent="0.2">
      <c r="C4" t="s">
        <v>6</v>
      </c>
      <c r="D4" t="s">
        <v>24</v>
      </c>
      <c r="E4" t="s">
        <v>25</v>
      </c>
      <c r="G4" t="s">
        <v>6</v>
      </c>
      <c r="H4" t="s">
        <v>24</v>
      </c>
      <c r="I4" t="s">
        <v>25</v>
      </c>
      <c r="K4" t="s">
        <v>6</v>
      </c>
      <c r="L4" t="s">
        <v>24</v>
      </c>
      <c r="M4" t="s">
        <v>25</v>
      </c>
    </row>
    <row r="5" spans="1:17" x14ac:dyDescent="0.2">
      <c r="A5" t="s">
        <v>8</v>
      </c>
      <c r="C5">
        <v>1</v>
      </c>
      <c r="D5" s="1">
        <v>7.4999999999999997E-3</v>
      </c>
      <c r="E5" s="1">
        <v>1.5E-3</v>
      </c>
      <c r="G5">
        <v>1</v>
      </c>
      <c r="H5" s="1">
        <v>5.4999999999999997E-3</v>
      </c>
      <c r="I5" s="1">
        <v>1.5E-3</v>
      </c>
      <c r="K5">
        <v>1</v>
      </c>
      <c r="L5" s="1">
        <v>3.5000000000000001E-3</v>
      </c>
      <c r="M5" s="1">
        <v>1.5E-3</v>
      </c>
    </row>
    <row r="6" spans="1:17" x14ac:dyDescent="0.2">
      <c r="A6" t="s">
        <v>9</v>
      </c>
      <c r="C6">
        <v>0.3</v>
      </c>
      <c r="D6" s="1">
        <v>4.0000000000000001E-3</v>
      </c>
      <c r="E6" s="1">
        <v>1.5E-3</v>
      </c>
      <c r="G6">
        <v>0.3</v>
      </c>
      <c r="H6" s="1">
        <v>2E-3</v>
      </c>
      <c r="I6" s="1">
        <v>1.5E-3</v>
      </c>
      <c r="K6">
        <v>0.3</v>
      </c>
      <c r="L6" s="1">
        <v>2E-3</v>
      </c>
      <c r="M6" s="1">
        <v>1.5E-3</v>
      </c>
    </row>
    <row r="7" spans="1:17" x14ac:dyDescent="0.2">
      <c r="A7" t="s">
        <v>10</v>
      </c>
      <c r="C7">
        <v>0.06</v>
      </c>
      <c r="D7" s="1">
        <v>2E-3</v>
      </c>
      <c r="E7" s="1">
        <v>5.0000000000000001E-4</v>
      </c>
      <c r="G7">
        <v>0.06</v>
      </c>
      <c r="H7" s="1">
        <v>1E-3</v>
      </c>
      <c r="I7" s="1">
        <v>5.0000000000000001E-4</v>
      </c>
      <c r="K7">
        <v>0.06</v>
      </c>
      <c r="L7" s="1">
        <v>1E-3</v>
      </c>
      <c r="M7" s="1">
        <v>5.0000000000000001E-4</v>
      </c>
    </row>
    <row r="8" spans="1:17" x14ac:dyDescent="0.2">
      <c r="A8" t="s">
        <v>14</v>
      </c>
      <c r="C8">
        <v>1</v>
      </c>
      <c r="D8" s="1">
        <v>7.4999999999999997E-3</v>
      </c>
      <c r="E8" s="1">
        <v>1E-3</v>
      </c>
      <c r="G8">
        <v>1</v>
      </c>
      <c r="H8" s="1">
        <v>5.4999999999999997E-3</v>
      </c>
      <c r="I8" s="1">
        <v>1E-3</v>
      </c>
      <c r="K8">
        <v>1</v>
      </c>
      <c r="L8" s="1">
        <v>3.5000000000000001E-3</v>
      </c>
      <c r="M8" s="1">
        <v>1E-3</v>
      </c>
    </row>
    <row r="9" spans="1:17" x14ac:dyDescent="0.2">
      <c r="A9" t="s">
        <v>11</v>
      </c>
      <c r="C9">
        <v>0.6</v>
      </c>
      <c r="D9" s="1">
        <v>3.0000000000000001E-3</v>
      </c>
      <c r="E9" s="1">
        <v>5.0000000000000001E-4</v>
      </c>
      <c r="G9">
        <v>0.6</v>
      </c>
      <c r="H9" s="1">
        <v>1.5E-3</v>
      </c>
      <c r="I9" s="1">
        <v>5.0000000000000001E-4</v>
      </c>
      <c r="K9">
        <v>0.6</v>
      </c>
      <c r="L9" s="1">
        <v>1.5E-3</v>
      </c>
      <c r="M9" s="1">
        <v>5.0000000000000001E-4</v>
      </c>
    </row>
    <row r="10" spans="1:17" x14ac:dyDescent="0.2">
      <c r="A10" t="s">
        <v>12</v>
      </c>
      <c r="C10">
        <v>0.08</v>
      </c>
      <c r="D10" s="1">
        <v>3.0000000000000001E-3</v>
      </c>
      <c r="E10" s="1">
        <v>5.0000000000000001E-4</v>
      </c>
      <c r="G10">
        <v>0.08</v>
      </c>
      <c r="H10" s="1">
        <v>1.5E-3</v>
      </c>
      <c r="I10" s="1">
        <v>5.0000000000000001E-4</v>
      </c>
      <c r="K10">
        <v>0.08</v>
      </c>
      <c r="L10" s="1">
        <v>1.5E-3</v>
      </c>
      <c r="M10" s="1">
        <v>5.0000000000000001E-4</v>
      </c>
    </row>
    <row r="11" spans="1:17" x14ac:dyDescent="0.2">
      <c r="A11" t="s">
        <v>15</v>
      </c>
      <c r="C11">
        <v>0.4</v>
      </c>
      <c r="D11" s="1">
        <v>5.0000000000000001E-3</v>
      </c>
      <c r="E11" s="1">
        <v>1E-3</v>
      </c>
      <c r="G11">
        <v>0.4</v>
      </c>
      <c r="H11" s="1">
        <v>2.5000000000000001E-3</v>
      </c>
      <c r="I11" s="1">
        <v>1E-3</v>
      </c>
      <c r="K11">
        <v>0.4</v>
      </c>
      <c r="L11" s="1">
        <v>2.5000000000000001E-3</v>
      </c>
      <c r="M11" s="1">
        <v>1E-3</v>
      </c>
    </row>
    <row r="12" spans="1:17" x14ac:dyDescent="0.2">
      <c r="A12" t="s">
        <v>22</v>
      </c>
      <c r="C12">
        <v>0.1</v>
      </c>
      <c r="D12" s="1">
        <v>4.0000000000000001E-3</v>
      </c>
      <c r="E12" s="1">
        <v>5.0000000000000001E-4</v>
      </c>
      <c r="G12">
        <v>0.1</v>
      </c>
      <c r="H12" s="1">
        <v>2E-3</v>
      </c>
      <c r="I12" s="1">
        <v>5.0000000000000001E-4</v>
      </c>
      <c r="K12">
        <v>0.1</v>
      </c>
      <c r="L12" s="1">
        <v>2E-3</v>
      </c>
      <c r="M12" s="1">
        <v>5.0000000000000001E-4</v>
      </c>
      <c r="Q12" t="s">
        <v>29</v>
      </c>
    </row>
    <row r="13" spans="1:17" x14ac:dyDescent="0.2">
      <c r="D13" s="1"/>
      <c r="E13" s="1"/>
      <c r="H13" s="1"/>
      <c r="I13" s="1"/>
      <c r="L13" s="1"/>
      <c r="M13" s="1"/>
    </row>
    <row r="14" spans="1:17" x14ac:dyDescent="0.2">
      <c r="A14" t="s">
        <v>1</v>
      </c>
      <c r="D14" s="1"/>
      <c r="E14" s="1"/>
      <c r="H14" s="1"/>
      <c r="I14" s="1"/>
      <c r="L14" s="1"/>
      <c r="M14" s="1"/>
    </row>
    <row r="15" spans="1:17" x14ac:dyDescent="0.2">
      <c r="D15" s="1"/>
      <c r="E15" s="1"/>
      <c r="H15" s="1"/>
      <c r="I15" s="1"/>
      <c r="L15" s="1"/>
      <c r="M15" s="1"/>
    </row>
    <row r="16" spans="1:17" x14ac:dyDescent="0.2">
      <c r="A16" t="s">
        <v>8</v>
      </c>
      <c r="C16">
        <v>1</v>
      </c>
      <c r="D16" s="1">
        <v>8.0000000000000002E-3</v>
      </c>
      <c r="E16" s="1">
        <v>1.5E-3</v>
      </c>
      <c r="G16">
        <v>1</v>
      </c>
      <c r="H16" s="1">
        <v>7.0000000000000001E-3</v>
      </c>
      <c r="I16" s="1">
        <v>1.5E-3</v>
      </c>
      <c r="K16">
        <v>1</v>
      </c>
      <c r="L16" s="1">
        <v>7.0000000000000001E-3</v>
      </c>
      <c r="M16" s="1">
        <v>1.5E-3</v>
      </c>
    </row>
    <row r="17" spans="1:13" x14ac:dyDescent="0.2">
      <c r="A17" t="s">
        <v>18</v>
      </c>
      <c r="C17">
        <v>1</v>
      </c>
      <c r="D17" s="1">
        <v>5.4999999999999997E-3</v>
      </c>
      <c r="E17" s="1">
        <v>5.0000000000000001E-4</v>
      </c>
      <c r="G17">
        <v>1</v>
      </c>
      <c r="H17" s="1">
        <v>6.4999999999999997E-3</v>
      </c>
      <c r="I17" s="1">
        <v>5.0000000000000001E-4</v>
      </c>
      <c r="K17">
        <v>1</v>
      </c>
      <c r="L17" s="1">
        <v>6.4999999999999997E-3</v>
      </c>
      <c r="M17" s="1">
        <v>5.0000000000000001E-4</v>
      </c>
    </row>
    <row r="18" spans="1:13" x14ac:dyDescent="0.2">
      <c r="A18" t="s">
        <v>17</v>
      </c>
      <c r="C18">
        <v>0.25</v>
      </c>
      <c r="D18" s="1">
        <v>3.5000000000000001E-3</v>
      </c>
      <c r="E18" s="1">
        <v>5.0000000000000001E-4</v>
      </c>
      <c r="G18">
        <v>0.25</v>
      </c>
      <c r="H18" s="1">
        <v>4.4999999999999997E-3</v>
      </c>
      <c r="I18" s="1">
        <v>5.0000000000000001E-4</v>
      </c>
      <c r="K18">
        <v>0.25</v>
      </c>
      <c r="L18" s="1">
        <v>4.4999999999999997E-3</v>
      </c>
      <c r="M18" s="1">
        <v>5.0000000000000001E-4</v>
      </c>
    </row>
    <row r="19" spans="1:13" x14ac:dyDescent="0.2">
      <c r="A19" t="s">
        <v>13</v>
      </c>
      <c r="C19">
        <v>0.5</v>
      </c>
      <c r="D19" s="1">
        <v>8.0000000000000002E-3</v>
      </c>
      <c r="E19" s="1">
        <v>1.5E-3</v>
      </c>
      <c r="G19">
        <v>0.5</v>
      </c>
      <c r="H19" s="1">
        <v>0.01</v>
      </c>
      <c r="I19" s="1">
        <v>1.5E-3</v>
      </c>
      <c r="K19">
        <v>0.5</v>
      </c>
      <c r="L19" s="1">
        <v>0.01</v>
      </c>
      <c r="M19" s="1">
        <v>1.5E-3</v>
      </c>
    </row>
    <row r="20" spans="1:13" x14ac:dyDescent="0.2">
      <c r="A20" t="s">
        <v>10</v>
      </c>
      <c r="C20">
        <v>0.06</v>
      </c>
      <c r="D20" s="1">
        <v>5.0000000000000001E-3</v>
      </c>
      <c r="E20" s="1">
        <v>5.0000000000000001E-4</v>
      </c>
      <c r="G20">
        <v>0.06</v>
      </c>
      <c r="H20" s="1">
        <v>6.4999999999999997E-3</v>
      </c>
      <c r="I20" s="1">
        <v>5.0000000000000001E-4</v>
      </c>
      <c r="K20">
        <v>0.06</v>
      </c>
      <c r="L20" s="1">
        <v>6.4999999999999997E-3</v>
      </c>
      <c r="M20" s="1">
        <v>5.0000000000000001E-4</v>
      </c>
    </row>
    <row r="21" spans="1:13" x14ac:dyDescent="0.2">
      <c r="A21" t="s">
        <v>16</v>
      </c>
      <c r="C21">
        <v>0.3</v>
      </c>
      <c r="D21" s="1">
        <v>8.0000000000000002E-3</v>
      </c>
      <c r="E21" s="1">
        <v>4.0000000000000001E-3</v>
      </c>
      <c r="G21">
        <v>0.3</v>
      </c>
      <c r="H21" s="1">
        <v>1.2E-2</v>
      </c>
      <c r="I21" s="1">
        <v>4.0000000000000001E-3</v>
      </c>
      <c r="K21">
        <v>0.3</v>
      </c>
      <c r="L21" s="1">
        <v>1.2E-2</v>
      </c>
      <c r="M21" s="1">
        <v>4.0000000000000001E-3</v>
      </c>
    </row>
    <row r="22" spans="1:13" x14ac:dyDescent="0.2">
      <c r="D22" s="1"/>
      <c r="E22" s="1"/>
      <c r="H22" s="1"/>
      <c r="I22" s="1"/>
      <c r="L22" s="1"/>
    </row>
    <row r="23" spans="1:13" x14ac:dyDescent="0.2">
      <c r="A23" t="s">
        <v>2</v>
      </c>
      <c r="D23" s="1"/>
      <c r="E23" s="1"/>
      <c r="H23" s="1"/>
      <c r="I23" s="1"/>
      <c r="L23" s="1"/>
    </row>
    <row r="24" spans="1:13" x14ac:dyDescent="0.2">
      <c r="D24" s="1"/>
      <c r="E24" s="1"/>
      <c r="H24" s="1"/>
      <c r="I24" s="1"/>
      <c r="L24" s="1"/>
    </row>
    <row r="25" spans="1:13" x14ac:dyDescent="0.2">
      <c r="A25" t="s">
        <v>19</v>
      </c>
      <c r="C25">
        <v>1.5</v>
      </c>
      <c r="D25" s="1">
        <v>0.01</v>
      </c>
      <c r="E25" s="1">
        <v>2.5000000000000001E-3</v>
      </c>
      <c r="G25">
        <v>1.2</v>
      </c>
      <c r="H25" s="1">
        <v>1.7999999999999999E-2</v>
      </c>
      <c r="I25" s="1">
        <v>2.5000000000000001E-3</v>
      </c>
      <c r="K25">
        <v>1</v>
      </c>
      <c r="L25" s="1">
        <v>3.5000000000000003E-2</v>
      </c>
      <c r="M25" s="1">
        <v>2.5000000000000001E-3</v>
      </c>
    </row>
    <row r="26" spans="1:13" x14ac:dyDescent="0.2">
      <c r="A26" t="s">
        <v>21</v>
      </c>
      <c r="C26">
        <v>0.45</v>
      </c>
      <c r="D26" s="1">
        <v>1.7999999999999999E-2</v>
      </c>
      <c r="E26" s="1">
        <v>1.5E-3</v>
      </c>
      <c r="G26">
        <v>0.45</v>
      </c>
      <c r="H26" s="1">
        <v>2.1999999999999999E-2</v>
      </c>
      <c r="I26" s="1">
        <v>1.5E-3</v>
      </c>
      <c r="K26">
        <v>0.45</v>
      </c>
      <c r="L26" s="1">
        <v>2.5999999999999999E-2</v>
      </c>
      <c r="M26" s="1">
        <v>1.5E-3</v>
      </c>
    </row>
    <row r="27" spans="1:13" x14ac:dyDescent="0.2">
      <c r="A27" t="s">
        <v>20</v>
      </c>
      <c r="C27">
        <v>0.8</v>
      </c>
      <c r="D27" s="1">
        <v>2.1999999999999999E-2</v>
      </c>
      <c r="E27" s="1">
        <v>1.5E-3</v>
      </c>
      <c r="G27">
        <v>0.8</v>
      </c>
      <c r="H27" s="1">
        <v>2.5000000000000001E-2</v>
      </c>
      <c r="I27" s="1">
        <v>1.5E-3</v>
      </c>
      <c r="K27">
        <v>0.8</v>
      </c>
      <c r="L27" s="1">
        <v>2.8000000000000001E-2</v>
      </c>
      <c r="M27" s="1">
        <v>1.5E-3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 4</vt:lpstr>
      <vt:lpstr>Foaie2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Balbarau</dc:creator>
  <cp:lastModifiedBy>Sebastian Sabo</cp:lastModifiedBy>
  <dcterms:created xsi:type="dcterms:W3CDTF">2026-02-07T10:21:22Z</dcterms:created>
  <dcterms:modified xsi:type="dcterms:W3CDTF">2026-02-12T10:13:58Z</dcterms:modified>
</cp:coreProperties>
</file>