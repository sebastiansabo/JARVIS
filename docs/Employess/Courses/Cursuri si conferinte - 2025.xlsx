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autoworld.sharepoint.com/sites/aw-hr/Training/"/>
    </mc:Choice>
  </mc:AlternateContent>
  <xr:revisionPtr revIDLastSave="3161" documentId="11_0EB74D85D0DAF52C245F975D83E12C8F3CED4083" xr6:coauthVersionLast="47" xr6:coauthVersionMax="47" xr10:uidLastSave="{FAE3FB29-FFD1-4C21-AF00-056FF2263BD1}"/>
  <bookViews>
    <workbookView xWindow="-108" yWindow="-108" windowWidth="23256" windowHeight="12456" firstSheet="2" activeTab="2" xr2:uid="{00000000-000D-0000-FFFF-FFFF00000000}"/>
  </bookViews>
  <sheets>
    <sheet name="Costuri" sheetId="2" r:id="rId1"/>
    <sheet name="Cursuri AW" sheetId="1" r:id="rId2"/>
    <sheet name="Cursuri AW International" sheetId="4" r:id="rId3"/>
    <sheet name="Cursuri AW Premium" sheetId="5" r:id="rId4"/>
    <sheet name="Cursuri AW Prestige" sheetId="7" r:id="rId5"/>
    <sheet name="Cursuri AW Plus" sheetId="8" r:id="rId6"/>
    <sheet name="Cursuri AW Next" sheetId="9" r:id="rId7"/>
    <sheet name="Cursuri AW One" sheetId="11" r:id="rId8"/>
    <sheet name="Cursuri AW Insurance" sheetId="12" r:id="rId9"/>
  </sheets>
  <definedNames>
    <definedName name="_xlnm._FilterDatabase" localSheetId="1" hidden="1">'Cursuri AW'!$A$1:$S$538</definedName>
    <definedName name="_xlnm._FilterDatabase" localSheetId="8" hidden="1">'Cursuri AW Insurance'!$A$1:$S$1</definedName>
    <definedName name="_xlnm._FilterDatabase" localSheetId="2" hidden="1">'Cursuri AW International'!$A$1:$S$1</definedName>
    <definedName name="_xlnm._FilterDatabase" localSheetId="6" hidden="1">'Cursuri AW Next'!$A$1:$S$1</definedName>
    <definedName name="_xlnm._FilterDatabase" localSheetId="7" hidden="1">'Cursuri AW One'!$A$1:$S$1</definedName>
    <definedName name="_xlnm._FilterDatabase" localSheetId="5" hidden="1">'Cursuri AW Plus'!$A$1:$S$530</definedName>
    <definedName name="_xlnm._FilterDatabase" localSheetId="3" hidden="1">'Cursuri AW Premium'!$A$1:$S$1</definedName>
    <definedName name="_xlnm._FilterDatabase" localSheetId="4" hidden="1">'Cursuri AW Prestige'!$A$1:$S$1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2" l="1"/>
  <c r="E11" i="2"/>
  <c r="F11" i="2"/>
  <c r="G11" i="2"/>
  <c r="H11" i="2"/>
  <c r="D11" i="2"/>
  <c r="H70" i="2" l="1"/>
  <c r="H71" i="2" s="1"/>
  <c r="G70" i="2"/>
  <c r="G71" i="2" s="1"/>
  <c r="F70" i="2"/>
  <c r="F71" i="2" s="1"/>
  <c r="E70" i="2"/>
  <c r="E71" i="2" s="1"/>
  <c r="H65" i="2"/>
  <c r="H66" i="2"/>
  <c r="H64" i="2"/>
  <c r="G65" i="2"/>
  <c r="G66" i="2"/>
  <c r="G64" i="2"/>
  <c r="F65" i="2"/>
  <c r="F66" i="2"/>
  <c r="F64" i="2"/>
  <c r="E65" i="2"/>
  <c r="E66" i="2"/>
  <c r="E64" i="2"/>
  <c r="H59" i="2"/>
  <c r="H60" i="2"/>
  <c r="H58" i="2"/>
  <c r="G59" i="2"/>
  <c r="G60" i="2"/>
  <c r="G58" i="2"/>
  <c r="F59" i="2"/>
  <c r="F60" i="2"/>
  <c r="F58" i="2"/>
  <c r="E59" i="2"/>
  <c r="E60" i="2"/>
  <c r="E58" i="2"/>
  <c r="H50" i="2"/>
  <c r="H51" i="2"/>
  <c r="H52" i="2"/>
  <c r="H53" i="2"/>
  <c r="H54" i="2"/>
  <c r="H49" i="2"/>
  <c r="G49" i="2"/>
  <c r="G54" i="2"/>
  <c r="G50" i="2"/>
  <c r="G51" i="2"/>
  <c r="G52" i="2"/>
  <c r="G53" i="2"/>
  <c r="F50" i="2"/>
  <c r="F51" i="2"/>
  <c r="F52" i="2"/>
  <c r="F53" i="2"/>
  <c r="F54" i="2"/>
  <c r="F49" i="2"/>
  <c r="E50" i="2"/>
  <c r="E51" i="2"/>
  <c r="E52" i="2"/>
  <c r="E53" i="2"/>
  <c r="E54" i="2"/>
  <c r="E49" i="2"/>
  <c r="H43" i="2"/>
  <c r="H44" i="2"/>
  <c r="H45" i="2"/>
  <c r="H42" i="2"/>
  <c r="G43" i="2"/>
  <c r="G44" i="2"/>
  <c r="G45" i="2"/>
  <c r="G42" i="2"/>
  <c r="F43" i="2"/>
  <c r="F44" i="2"/>
  <c r="F45" i="2"/>
  <c r="F42" i="2"/>
  <c r="E43" i="2"/>
  <c r="E44" i="2"/>
  <c r="E45" i="2"/>
  <c r="E42" i="2"/>
  <c r="H37" i="2"/>
  <c r="H38" i="2"/>
  <c r="H36" i="2"/>
  <c r="G37" i="2"/>
  <c r="G38" i="2"/>
  <c r="G36" i="2"/>
  <c r="F37" i="2"/>
  <c r="F38" i="2"/>
  <c r="F36" i="2"/>
  <c r="E37" i="2"/>
  <c r="E38" i="2"/>
  <c r="E36" i="2"/>
  <c r="H31" i="2"/>
  <c r="H32" i="2"/>
  <c r="H30" i="2"/>
  <c r="G31" i="2"/>
  <c r="G32" i="2"/>
  <c r="G30" i="2"/>
  <c r="F31" i="2"/>
  <c r="F32" i="2"/>
  <c r="F30" i="2"/>
  <c r="E31" i="2"/>
  <c r="E32" i="2"/>
  <c r="E30" i="2"/>
  <c r="D26" i="2"/>
  <c r="E26" i="2"/>
  <c r="F26" i="2"/>
  <c r="G26" i="2"/>
  <c r="H26" i="2"/>
  <c r="I26" i="2"/>
  <c r="H17" i="2"/>
  <c r="H18" i="2"/>
  <c r="H19" i="2"/>
  <c r="H20" i="2"/>
  <c r="H21" i="2"/>
  <c r="H22" i="2"/>
  <c r="H23" i="2"/>
  <c r="H24" i="2"/>
  <c r="H25" i="2"/>
  <c r="H16" i="2"/>
  <c r="G17" i="2"/>
  <c r="G18" i="2"/>
  <c r="G19" i="2"/>
  <c r="G20" i="2"/>
  <c r="G21" i="2"/>
  <c r="G22" i="2"/>
  <c r="G23" i="2"/>
  <c r="G24" i="2"/>
  <c r="G25" i="2"/>
  <c r="G16" i="2"/>
  <c r="F17" i="2"/>
  <c r="F18" i="2"/>
  <c r="F19" i="2"/>
  <c r="F20" i="2"/>
  <c r="F21" i="2"/>
  <c r="F22" i="2"/>
  <c r="F23" i="2"/>
  <c r="F24" i="2"/>
  <c r="F25" i="2"/>
  <c r="F16" i="2"/>
  <c r="D16" i="2"/>
  <c r="E16" i="2"/>
  <c r="E17" i="2"/>
  <c r="E18" i="2"/>
  <c r="E19" i="2"/>
  <c r="E20" i="2"/>
  <c r="E21" i="2"/>
  <c r="E22" i="2"/>
  <c r="E23" i="2"/>
  <c r="E24" i="2"/>
  <c r="E25" i="2"/>
  <c r="I70" i="2"/>
  <c r="I71" i="2" s="1"/>
  <c r="D70" i="2"/>
  <c r="D71" i="2" s="1"/>
  <c r="I66" i="2"/>
  <c r="D66" i="2"/>
  <c r="D65" i="2"/>
  <c r="D64" i="2"/>
  <c r="I60" i="2"/>
  <c r="D60" i="2"/>
  <c r="I59" i="2"/>
  <c r="D59" i="2"/>
  <c r="D58" i="2"/>
  <c r="I54" i="2"/>
  <c r="D54" i="2"/>
  <c r="D53" i="2"/>
  <c r="D52" i="2"/>
  <c r="D51" i="2"/>
  <c r="D50" i="2"/>
  <c r="D49" i="2"/>
  <c r="F39" i="2" l="1"/>
  <c r="E6" i="2" s="1"/>
  <c r="G33" i="2"/>
  <c r="F5" i="2" s="1"/>
  <c r="F55" i="2"/>
  <c r="E8" i="2" s="1"/>
  <c r="G61" i="2"/>
  <c r="F9" i="2" s="1"/>
  <c r="F67" i="2"/>
  <c r="E10" i="2" s="1"/>
  <c r="F61" i="2"/>
  <c r="E9" i="2" s="1"/>
  <c r="H39" i="2"/>
  <c r="G6" i="2" s="1"/>
  <c r="H67" i="2"/>
  <c r="G10" i="2" s="1"/>
  <c r="E33" i="2"/>
  <c r="D5" i="2" s="1"/>
  <c r="E46" i="2"/>
  <c r="D7" i="2" s="1"/>
  <c r="E55" i="2"/>
  <c r="D8" i="2" s="1"/>
  <c r="E61" i="2"/>
  <c r="D9" i="2" s="1"/>
  <c r="H33" i="2"/>
  <c r="G5" i="2" s="1"/>
  <c r="G46" i="2"/>
  <c r="F7" i="2" s="1"/>
  <c r="G55" i="2"/>
  <c r="F8" i="2" s="1"/>
  <c r="H61" i="2"/>
  <c r="G9" i="2" s="1"/>
  <c r="G39" i="2"/>
  <c r="F6" i="2" s="1"/>
  <c r="H55" i="2"/>
  <c r="G8" i="2" s="1"/>
  <c r="G67" i="2"/>
  <c r="F10" i="2" s="1"/>
  <c r="F33" i="2"/>
  <c r="E5" i="2" s="1"/>
  <c r="E39" i="2"/>
  <c r="D6" i="2" s="1"/>
  <c r="F46" i="2"/>
  <c r="E7" i="2" s="1"/>
  <c r="H46" i="2"/>
  <c r="G7" i="2" s="1"/>
  <c r="E67" i="2"/>
  <c r="D10" i="2" s="1"/>
  <c r="H27" i="2"/>
  <c r="G4" i="2" s="1"/>
  <c r="E27" i="2"/>
  <c r="D4" i="2" s="1"/>
  <c r="G27" i="2"/>
  <c r="F4" i="2" s="1"/>
  <c r="D67" i="2"/>
  <c r="D61" i="2"/>
  <c r="D55" i="2"/>
  <c r="F12" i="2" l="1"/>
  <c r="G12" i="2"/>
  <c r="D12" i="2"/>
  <c r="S3" i="7"/>
  <c r="S4" i="7"/>
  <c r="S5" i="7"/>
  <c r="S2" i="7"/>
  <c r="S3" i="5"/>
  <c r="S4" i="5"/>
  <c r="S5" i="5"/>
  <c r="S6" i="5"/>
  <c r="S7" i="5"/>
  <c r="S8" i="5"/>
  <c r="S9" i="5"/>
  <c r="S10" i="5"/>
  <c r="S11" i="5"/>
  <c r="S12" i="5"/>
  <c r="S13" i="8"/>
  <c r="S14" i="8"/>
  <c r="S12" i="8" l="1"/>
  <c r="S11" i="8"/>
  <c r="S10" i="8"/>
  <c r="S8" i="8"/>
  <c r="S3" i="8"/>
  <c r="S2" i="8"/>
  <c r="S3" i="9"/>
  <c r="S2" i="9"/>
  <c r="D37" i="2"/>
  <c r="D42" i="2"/>
  <c r="S2" i="5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I24" i="2" s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D23" i="2"/>
  <c r="D22" i="2"/>
  <c r="D24" i="2"/>
  <c r="D20" i="2"/>
  <c r="I43" i="2"/>
  <c r="D43" i="2"/>
  <c r="I22" i="2"/>
  <c r="I23" i="2"/>
  <c r="I17" i="2" l="1"/>
  <c r="D18" i="2"/>
  <c r="D19" i="2"/>
  <c r="D21" i="2"/>
  <c r="D25" i="2"/>
  <c r="S523" i="12" l="1"/>
  <c r="S522" i="12"/>
  <c r="S521" i="12"/>
  <c r="S520" i="12"/>
  <c r="S519" i="12"/>
  <c r="S518" i="12"/>
  <c r="S517" i="12"/>
  <c r="S516" i="12"/>
  <c r="S515" i="12"/>
  <c r="S514" i="12"/>
  <c r="S513" i="12"/>
  <c r="S512" i="12"/>
  <c r="S511" i="12"/>
  <c r="S510" i="12"/>
  <c r="S509" i="12"/>
  <c r="S508" i="12"/>
  <c r="S507" i="12"/>
  <c r="S506" i="12"/>
  <c r="S505" i="12"/>
  <c r="S504" i="12"/>
  <c r="S503" i="12"/>
  <c r="S502" i="12"/>
  <c r="S501" i="12"/>
  <c r="S500" i="12"/>
  <c r="S499" i="12"/>
  <c r="S498" i="12"/>
  <c r="S497" i="12"/>
  <c r="S496" i="12"/>
  <c r="S495" i="12"/>
  <c r="S494" i="12"/>
  <c r="S493" i="12"/>
  <c r="S492" i="12"/>
  <c r="S491" i="12"/>
  <c r="S490" i="12"/>
  <c r="S489" i="12"/>
  <c r="S488" i="12"/>
  <c r="S487" i="12"/>
  <c r="S486" i="12"/>
  <c r="S485" i="12"/>
  <c r="S484" i="12"/>
  <c r="S483" i="12"/>
  <c r="S482" i="12"/>
  <c r="S481" i="12"/>
  <c r="S480" i="12"/>
  <c r="S479" i="12"/>
  <c r="S478" i="12"/>
  <c r="S477" i="12"/>
  <c r="S476" i="12"/>
  <c r="S475" i="12"/>
  <c r="S474" i="12"/>
  <c r="S473" i="12"/>
  <c r="S472" i="12"/>
  <c r="S471" i="12"/>
  <c r="S470" i="12"/>
  <c r="S469" i="12"/>
  <c r="S468" i="12"/>
  <c r="S467" i="12"/>
  <c r="S466" i="12"/>
  <c r="S465" i="12"/>
  <c r="S464" i="12"/>
  <c r="S463" i="12"/>
  <c r="S462" i="12"/>
  <c r="S461" i="12"/>
  <c r="S460" i="12"/>
  <c r="S459" i="12"/>
  <c r="S458" i="12"/>
  <c r="S457" i="12"/>
  <c r="S456" i="12"/>
  <c r="S455" i="12"/>
  <c r="S454" i="12"/>
  <c r="S453" i="12"/>
  <c r="S452" i="12"/>
  <c r="S451" i="12"/>
  <c r="S450" i="12"/>
  <c r="S449" i="12"/>
  <c r="S448" i="12"/>
  <c r="S447" i="12"/>
  <c r="S446" i="12"/>
  <c r="S445" i="12"/>
  <c r="S444" i="12"/>
  <c r="S443" i="12"/>
  <c r="S442" i="12"/>
  <c r="S441" i="12"/>
  <c r="S440" i="12"/>
  <c r="S439" i="12"/>
  <c r="S438" i="12"/>
  <c r="S437" i="12"/>
  <c r="S436" i="12"/>
  <c r="S435" i="12"/>
  <c r="S434" i="12"/>
  <c r="S433" i="12"/>
  <c r="S432" i="12"/>
  <c r="S431" i="12"/>
  <c r="S430" i="12"/>
  <c r="S429" i="12"/>
  <c r="S428" i="12"/>
  <c r="S427" i="12"/>
  <c r="S426" i="12"/>
  <c r="S425" i="12"/>
  <c r="S424" i="12"/>
  <c r="S423" i="12"/>
  <c r="S422" i="12"/>
  <c r="S421" i="12"/>
  <c r="S420" i="12"/>
  <c r="S419" i="12"/>
  <c r="S418" i="12"/>
  <c r="S417" i="12"/>
  <c r="S416" i="12"/>
  <c r="S415" i="12"/>
  <c r="S414" i="12"/>
  <c r="S413" i="12"/>
  <c r="S412" i="12"/>
  <c r="S411" i="12"/>
  <c r="S410" i="12"/>
  <c r="S409" i="12"/>
  <c r="S408" i="12"/>
  <c r="S407" i="12"/>
  <c r="S406" i="12"/>
  <c r="S405" i="12"/>
  <c r="S404" i="12"/>
  <c r="S403" i="12"/>
  <c r="S402" i="12"/>
  <c r="S401" i="12"/>
  <c r="S400" i="12"/>
  <c r="S399" i="12"/>
  <c r="S398" i="12"/>
  <c r="S397" i="12"/>
  <c r="S396" i="12"/>
  <c r="S395" i="12"/>
  <c r="S394" i="12"/>
  <c r="S393" i="12"/>
  <c r="S392" i="12"/>
  <c r="S391" i="12"/>
  <c r="S390" i="12"/>
  <c r="S389" i="12"/>
  <c r="S388" i="12"/>
  <c r="S387" i="12"/>
  <c r="S386" i="12"/>
  <c r="S385" i="12"/>
  <c r="S384" i="12"/>
  <c r="S383" i="12"/>
  <c r="S382" i="12"/>
  <c r="S381" i="12"/>
  <c r="S380" i="12"/>
  <c r="S379" i="12"/>
  <c r="S378" i="12"/>
  <c r="S377" i="12"/>
  <c r="S376" i="12"/>
  <c r="S375" i="12"/>
  <c r="S374" i="12"/>
  <c r="S373" i="12"/>
  <c r="S372" i="12"/>
  <c r="S371" i="12"/>
  <c r="S370" i="12"/>
  <c r="S369" i="12"/>
  <c r="S368" i="12"/>
  <c r="S367" i="12"/>
  <c r="S366" i="12"/>
  <c r="S365" i="12"/>
  <c r="S364" i="12"/>
  <c r="S363" i="12"/>
  <c r="S362" i="12"/>
  <c r="S361" i="12"/>
  <c r="S360" i="12"/>
  <c r="S359" i="12"/>
  <c r="S358" i="12"/>
  <c r="S357" i="12"/>
  <c r="S356" i="12"/>
  <c r="S355" i="12"/>
  <c r="S354" i="12"/>
  <c r="S353" i="12"/>
  <c r="S352" i="12"/>
  <c r="S351" i="12"/>
  <c r="S350" i="12"/>
  <c r="S349" i="12"/>
  <c r="S348" i="12"/>
  <c r="S347" i="12"/>
  <c r="S346" i="12"/>
  <c r="S345" i="12"/>
  <c r="S344" i="12"/>
  <c r="S343" i="12"/>
  <c r="S342" i="12"/>
  <c r="S341" i="12"/>
  <c r="S340" i="12"/>
  <c r="S339" i="12"/>
  <c r="S338" i="12"/>
  <c r="S337" i="12"/>
  <c r="S336" i="12"/>
  <c r="S335" i="12"/>
  <c r="S334" i="12"/>
  <c r="S333" i="12"/>
  <c r="S332" i="12"/>
  <c r="S331" i="12"/>
  <c r="S330" i="12"/>
  <c r="S329" i="12"/>
  <c r="S328" i="12"/>
  <c r="S327" i="12"/>
  <c r="S326" i="12"/>
  <c r="S325" i="12"/>
  <c r="S324" i="12"/>
  <c r="S323" i="12"/>
  <c r="S322" i="12"/>
  <c r="S321" i="12"/>
  <c r="S320" i="12"/>
  <c r="S319" i="12"/>
  <c r="S318" i="12"/>
  <c r="S317" i="12"/>
  <c r="S316" i="12"/>
  <c r="S315" i="12"/>
  <c r="S314" i="12"/>
  <c r="S313" i="12"/>
  <c r="S312" i="12"/>
  <c r="S311" i="12"/>
  <c r="S310" i="12"/>
  <c r="S309" i="12"/>
  <c r="S308" i="12"/>
  <c r="S307" i="12"/>
  <c r="S306" i="12"/>
  <c r="S305" i="12"/>
  <c r="S304" i="12"/>
  <c r="S303" i="12"/>
  <c r="S302" i="12"/>
  <c r="S301" i="12"/>
  <c r="S300" i="12"/>
  <c r="S299" i="12"/>
  <c r="S298" i="12"/>
  <c r="S297" i="12"/>
  <c r="S296" i="12"/>
  <c r="S295" i="12"/>
  <c r="S294" i="12"/>
  <c r="S293" i="12"/>
  <c r="S292" i="12"/>
  <c r="S291" i="12"/>
  <c r="S290" i="12"/>
  <c r="S289" i="12"/>
  <c r="S288" i="12"/>
  <c r="S287" i="12"/>
  <c r="S286" i="12"/>
  <c r="S285" i="12"/>
  <c r="S284" i="12"/>
  <c r="S283" i="12"/>
  <c r="S282" i="12"/>
  <c r="S281" i="12"/>
  <c r="S280" i="12"/>
  <c r="S279" i="12"/>
  <c r="S278" i="12"/>
  <c r="S277" i="12"/>
  <c r="S276" i="12"/>
  <c r="S275" i="12"/>
  <c r="S274" i="12"/>
  <c r="S273" i="12"/>
  <c r="S272" i="12"/>
  <c r="S271" i="12"/>
  <c r="S270" i="12"/>
  <c r="S269" i="12"/>
  <c r="S268" i="12"/>
  <c r="S267" i="12"/>
  <c r="S266" i="12"/>
  <c r="S265" i="12"/>
  <c r="S264" i="12"/>
  <c r="S263" i="12"/>
  <c r="S262" i="12"/>
  <c r="S261" i="12"/>
  <c r="S260" i="12"/>
  <c r="S259" i="12"/>
  <c r="S258" i="12"/>
  <c r="S257" i="12"/>
  <c r="S256" i="12"/>
  <c r="S255" i="12"/>
  <c r="S254" i="12"/>
  <c r="S253" i="12"/>
  <c r="S252" i="12"/>
  <c r="S251" i="12"/>
  <c r="S250" i="12"/>
  <c r="S249" i="12"/>
  <c r="S248" i="12"/>
  <c r="S247" i="12"/>
  <c r="S246" i="12"/>
  <c r="S245" i="12"/>
  <c r="S244" i="12"/>
  <c r="S243" i="12"/>
  <c r="S242" i="12"/>
  <c r="S241" i="12"/>
  <c r="S240" i="12"/>
  <c r="S239" i="12"/>
  <c r="S238" i="12"/>
  <c r="S237" i="12"/>
  <c r="S236" i="12"/>
  <c r="S235" i="12"/>
  <c r="S234" i="12"/>
  <c r="S233" i="12"/>
  <c r="S232" i="12"/>
  <c r="S231" i="12"/>
  <c r="S230" i="12"/>
  <c r="S229" i="12"/>
  <c r="S228" i="12"/>
  <c r="S227" i="12"/>
  <c r="S226" i="12"/>
  <c r="S225" i="12"/>
  <c r="S224" i="12"/>
  <c r="S223" i="12"/>
  <c r="S222" i="12"/>
  <c r="S22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S200" i="12"/>
  <c r="S199" i="12"/>
  <c r="S198" i="12"/>
  <c r="S197" i="12"/>
  <c r="S196" i="12"/>
  <c r="S195" i="12"/>
  <c r="S194" i="12"/>
  <c r="S193" i="12"/>
  <c r="S192" i="12"/>
  <c r="S191" i="12"/>
  <c r="S190" i="12"/>
  <c r="S189" i="12"/>
  <c r="S188" i="12"/>
  <c r="S187" i="12"/>
  <c r="S186" i="12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71" i="12"/>
  <c r="S170" i="12"/>
  <c r="S169" i="12"/>
  <c r="S168" i="12"/>
  <c r="S167" i="12"/>
  <c r="S16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S145" i="12"/>
  <c r="S144" i="12"/>
  <c r="S143" i="12"/>
  <c r="S142" i="12"/>
  <c r="S141" i="12"/>
  <c r="S140" i="12"/>
  <c r="S139" i="12"/>
  <c r="S138" i="12"/>
  <c r="S137" i="12"/>
  <c r="S136" i="12"/>
  <c r="S135" i="12"/>
  <c r="S134" i="12"/>
  <c r="S133" i="12"/>
  <c r="S132" i="12"/>
  <c r="S131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S117" i="12"/>
  <c r="S116" i="12"/>
  <c r="S115" i="12"/>
  <c r="S114" i="12"/>
  <c r="S113" i="12"/>
  <c r="S112" i="12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S75" i="12"/>
  <c r="S74" i="12"/>
  <c r="S73" i="12"/>
  <c r="S72" i="12"/>
  <c r="S71" i="12"/>
  <c r="S7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S8" i="12"/>
  <c r="S7" i="12"/>
  <c r="S6" i="12"/>
  <c r="S5" i="12"/>
  <c r="S4" i="12"/>
  <c r="S3" i="12"/>
  <c r="S2" i="12"/>
  <c r="S523" i="11"/>
  <c r="S522" i="11"/>
  <c r="S521" i="11"/>
  <c r="S520" i="11"/>
  <c r="S519" i="11"/>
  <c r="S518" i="11"/>
  <c r="S517" i="11"/>
  <c r="S516" i="11"/>
  <c r="S515" i="11"/>
  <c r="S514" i="11"/>
  <c r="S513" i="11"/>
  <c r="S512" i="11"/>
  <c r="S511" i="11"/>
  <c r="S510" i="11"/>
  <c r="S509" i="11"/>
  <c r="S508" i="11"/>
  <c r="S507" i="11"/>
  <c r="S506" i="11"/>
  <c r="S505" i="11"/>
  <c r="S504" i="11"/>
  <c r="S503" i="11"/>
  <c r="S502" i="11"/>
  <c r="S501" i="11"/>
  <c r="S500" i="11"/>
  <c r="S499" i="11"/>
  <c r="S498" i="11"/>
  <c r="S497" i="11"/>
  <c r="S496" i="11"/>
  <c r="S495" i="11"/>
  <c r="S494" i="11"/>
  <c r="S493" i="11"/>
  <c r="S492" i="11"/>
  <c r="S491" i="11"/>
  <c r="S490" i="11"/>
  <c r="S489" i="11"/>
  <c r="S488" i="11"/>
  <c r="S487" i="11"/>
  <c r="S486" i="11"/>
  <c r="S485" i="11"/>
  <c r="S484" i="11"/>
  <c r="S483" i="11"/>
  <c r="S482" i="11"/>
  <c r="S481" i="11"/>
  <c r="S480" i="11"/>
  <c r="S479" i="11"/>
  <c r="S478" i="11"/>
  <c r="S477" i="11"/>
  <c r="S476" i="11"/>
  <c r="S475" i="11"/>
  <c r="S474" i="11"/>
  <c r="S473" i="11"/>
  <c r="S472" i="11"/>
  <c r="S471" i="11"/>
  <c r="S470" i="11"/>
  <c r="S469" i="11"/>
  <c r="S468" i="11"/>
  <c r="S467" i="11"/>
  <c r="S466" i="11"/>
  <c r="S465" i="11"/>
  <c r="S464" i="11"/>
  <c r="S463" i="11"/>
  <c r="S462" i="11"/>
  <c r="S461" i="11"/>
  <c r="S460" i="11"/>
  <c r="S459" i="11"/>
  <c r="S458" i="11"/>
  <c r="S457" i="11"/>
  <c r="S456" i="11"/>
  <c r="S455" i="11"/>
  <c r="S454" i="11"/>
  <c r="S453" i="11"/>
  <c r="S452" i="11"/>
  <c r="S451" i="11"/>
  <c r="S450" i="11"/>
  <c r="S449" i="11"/>
  <c r="S448" i="11"/>
  <c r="S447" i="11"/>
  <c r="S446" i="11"/>
  <c r="S445" i="11"/>
  <c r="S444" i="11"/>
  <c r="S443" i="11"/>
  <c r="S442" i="11"/>
  <c r="S441" i="11"/>
  <c r="S440" i="11"/>
  <c r="S439" i="11"/>
  <c r="S438" i="11"/>
  <c r="S437" i="11"/>
  <c r="S436" i="11"/>
  <c r="S435" i="11"/>
  <c r="S434" i="11"/>
  <c r="S433" i="11"/>
  <c r="S432" i="11"/>
  <c r="S431" i="11"/>
  <c r="S430" i="11"/>
  <c r="S429" i="11"/>
  <c r="S428" i="11"/>
  <c r="S427" i="11"/>
  <c r="S426" i="11"/>
  <c r="S425" i="11"/>
  <c r="S424" i="11"/>
  <c r="S423" i="11"/>
  <c r="S422" i="11"/>
  <c r="S421" i="11"/>
  <c r="S420" i="11"/>
  <c r="S419" i="11"/>
  <c r="S418" i="11"/>
  <c r="S417" i="11"/>
  <c r="S416" i="11"/>
  <c r="S415" i="11"/>
  <c r="S414" i="11"/>
  <c r="S413" i="11"/>
  <c r="S412" i="11"/>
  <c r="S411" i="11"/>
  <c r="S410" i="11"/>
  <c r="S409" i="11"/>
  <c r="S408" i="11"/>
  <c r="S407" i="11"/>
  <c r="S406" i="11"/>
  <c r="S405" i="11"/>
  <c r="S404" i="11"/>
  <c r="S403" i="11"/>
  <c r="S402" i="11"/>
  <c r="S401" i="11"/>
  <c r="S400" i="11"/>
  <c r="S399" i="11"/>
  <c r="S398" i="11"/>
  <c r="S397" i="11"/>
  <c r="S396" i="11"/>
  <c r="S395" i="11"/>
  <c r="S394" i="11"/>
  <c r="S393" i="11"/>
  <c r="S392" i="11"/>
  <c r="S391" i="11"/>
  <c r="S390" i="11"/>
  <c r="S389" i="11"/>
  <c r="S388" i="11"/>
  <c r="S387" i="11"/>
  <c r="S386" i="11"/>
  <c r="S385" i="11"/>
  <c r="S384" i="11"/>
  <c r="S383" i="11"/>
  <c r="S382" i="11"/>
  <c r="S381" i="11"/>
  <c r="S380" i="11"/>
  <c r="S379" i="11"/>
  <c r="S378" i="11"/>
  <c r="S377" i="11"/>
  <c r="S376" i="11"/>
  <c r="S375" i="11"/>
  <c r="S374" i="11"/>
  <c r="S373" i="11"/>
  <c r="S372" i="11"/>
  <c r="S371" i="11"/>
  <c r="S370" i="11"/>
  <c r="S369" i="11"/>
  <c r="S368" i="11"/>
  <c r="S367" i="11"/>
  <c r="S366" i="11"/>
  <c r="S365" i="11"/>
  <c r="S364" i="11"/>
  <c r="S363" i="11"/>
  <c r="S362" i="11"/>
  <c r="S361" i="11"/>
  <c r="S360" i="11"/>
  <c r="S359" i="11"/>
  <c r="S358" i="11"/>
  <c r="S357" i="11"/>
  <c r="S356" i="11"/>
  <c r="S355" i="11"/>
  <c r="S354" i="11"/>
  <c r="S353" i="11"/>
  <c r="S352" i="11"/>
  <c r="S351" i="11"/>
  <c r="S350" i="11"/>
  <c r="S349" i="11"/>
  <c r="S348" i="11"/>
  <c r="S347" i="11"/>
  <c r="S346" i="11"/>
  <c r="S345" i="11"/>
  <c r="S344" i="11"/>
  <c r="S343" i="11"/>
  <c r="S342" i="11"/>
  <c r="S341" i="11"/>
  <c r="S340" i="11"/>
  <c r="S339" i="11"/>
  <c r="S338" i="11"/>
  <c r="S337" i="11"/>
  <c r="S336" i="11"/>
  <c r="S335" i="11"/>
  <c r="S334" i="11"/>
  <c r="S333" i="11"/>
  <c r="S332" i="11"/>
  <c r="S331" i="11"/>
  <c r="S330" i="11"/>
  <c r="S329" i="11"/>
  <c r="S328" i="11"/>
  <c r="S327" i="11"/>
  <c r="S326" i="11"/>
  <c r="S325" i="11"/>
  <c r="S324" i="11"/>
  <c r="S323" i="11"/>
  <c r="S322" i="11"/>
  <c r="S321" i="11"/>
  <c r="S320" i="11"/>
  <c r="S319" i="11"/>
  <c r="S318" i="11"/>
  <c r="S317" i="11"/>
  <c r="S316" i="11"/>
  <c r="S315" i="11"/>
  <c r="S314" i="11"/>
  <c r="S313" i="11"/>
  <c r="S312" i="11"/>
  <c r="S311" i="11"/>
  <c r="S310" i="11"/>
  <c r="S309" i="11"/>
  <c r="S308" i="11"/>
  <c r="S307" i="11"/>
  <c r="S306" i="11"/>
  <c r="S305" i="11"/>
  <c r="S304" i="11"/>
  <c r="S303" i="11"/>
  <c r="S302" i="11"/>
  <c r="S301" i="11"/>
  <c r="S300" i="11"/>
  <c r="S299" i="11"/>
  <c r="S298" i="11"/>
  <c r="S297" i="11"/>
  <c r="S296" i="11"/>
  <c r="S295" i="11"/>
  <c r="S294" i="11"/>
  <c r="S293" i="11"/>
  <c r="S292" i="11"/>
  <c r="S291" i="11"/>
  <c r="S290" i="11"/>
  <c r="S289" i="11"/>
  <c r="S288" i="11"/>
  <c r="S287" i="11"/>
  <c r="S286" i="11"/>
  <c r="S285" i="11"/>
  <c r="S284" i="11"/>
  <c r="S283" i="11"/>
  <c r="S282" i="11"/>
  <c r="S281" i="11"/>
  <c r="S280" i="11"/>
  <c r="S279" i="11"/>
  <c r="S278" i="11"/>
  <c r="S277" i="11"/>
  <c r="S276" i="11"/>
  <c r="S275" i="11"/>
  <c r="S274" i="11"/>
  <c r="S273" i="11"/>
  <c r="S272" i="11"/>
  <c r="S271" i="11"/>
  <c r="S270" i="11"/>
  <c r="S269" i="11"/>
  <c r="S268" i="11"/>
  <c r="S267" i="11"/>
  <c r="S266" i="11"/>
  <c r="S265" i="11"/>
  <c r="S264" i="11"/>
  <c r="S263" i="11"/>
  <c r="S262" i="11"/>
  <c r="S261" i="11"/>
  <c r="S260" i="11"/>
  <c r="S259" i="11"/>
  <c r="S258" i="11"/>
  <c r="S257" i="11"/>
  <c r="S256" i="11"/>
  <c r="S255" i="11"/>
  <c r="S254" i="11"/>
  <c r="S253" i="11"/>
  <c r="S252" i="11"/>
  <c r="S251" i="11"/>
  <c r="S250" i="11"/>
  <c r="S249" i="11"/>
  <c r="S248" i="11"/>
  <c r="S247" i="11"/>
  <c r="S246" i="11"/>
  <c r="S245" i="11"/>
  <c r="S244" i="11"/>
  <c r="S243" i="11"/>
  <c r="S242" i="11"/>
  <c r="S241" i="11"/>
  <c r="S240" i="11"/>
  <c r="S239" i="11"/>
  <c r="S238" i="11"/>
  <c r="S237" i="11"/>
  <c r="S236" i="11"/>
  <c r="S235" i="11"/>
  <c r="S234" i="11"/>
  <c r="S233" i="11"/>
  <c r="S232" i="11"/>
  <c r="S231" i="11"/>
  <c r="S230" i="11"/>
  <c r="S229" i="11"/>
  <c r="S228" i="11"/>
  <c r="S227" i="11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I65" i="2" s="1"/>
  <c r="S14" i="11"/>
  <c r="S13" i="11"/>
  <c r="S12" i="11"/>
  <c r="S11" i="11"/>
  <c r="S10" i="11"/>
  <c r="S9" i="11"/>
  <c r="S8" i="11"/>
  <c r="S7" i="11"/>
  <c r="S6" i="11"/>
  <c r="S5" i="11"/>
  <c r="S4" i="11"/>
  <c r="S3" i="11"/>
  <c r="S2" i="11"/>
  <c r="S525" i="9"/>
  <c r="S524" i="9"/>
  <c r="S523" i="9"/>
  <c r="S522" i="9"/>
  <c r="S521" i="9"/>
  <c r="S520" i="9"/>
  <c r="S519" i="9"/>
  <c r="S518" i="9"/>
  <c r="S517" i="9"/>
  <c r="S516" i="9"/>
  <c r="S515" i="9"/>
  <c r="S514" i="9"/>
  <c r="S513" i="9"/>
  <c r="S512" i="9"/>
  <c r="S511" i="9"/>
  <c r="S510" i="9"/>
  <c r="S509" i="9"/>
  <c r="S508" i="9"/>
  <c r="S507" i="9"/>
  <c r="S506" i="9"/>
  <c r="S505" i="9"/>
  <c r="S504" i="9"/>
  <c r="S503" i="9"/>
  <c r="S502" i="9"/>
  <c r="S501" i="9"/>
  <c r="S500" i="9"/>
  <c r="S499" i="9"/>
  <c r="S498" i="9"/>
  <c r="S497" i="9"/>
  <c r="S496" i="9"/>
  <c r="S495" i="9"/>
  <c r="S494" i="9"/>
  <c r="S493" i="9"/>
  <c r="S492" i="9"/>
  <c r="S491" i="9"/>
  <c r="S490" i="9"/>
  <c r="S489" i="9"/>
  <c r="S488" i="9"/>
  <c r="S487" i="9"/>
  <c r="S486" i="9"/>
  <c r="S485" i="9"/>
  <c r="S484" i="9"/>
  <c r="S483" i="9"/>
  <c r="S482" i="9"/>
  <c r="S481" i="9"/>
  <c r="S480" i="9"/>
  <c r="S479" i="9"/>
  <c r="S478" i="9"/>
  <c r="S477" i="9"/>
  <c r="S476" i="9"/>
  <c r="S475" i="9"/>
  <c r="S474" i="9"/>
  <c r="S473" i="9"/>
  <c r="S472" i="9"/>
  <c r="S471" i="9"/>
  <c r="S470" i="9"/>
  <c r="S469" i="9"/>
  <c r="S468" i="9"/>
  <c r="S467" i="9"/>
  <c r="S466" i="9"/>
  <c r="S465" i="9"/>
  <c r="S464" i="9"/>
  <c r="S463" i="9"/>
  <c r="S462" i="9"/>
  <c r="S461" i="9"/>
  <c r="S460" i="9"/>
  <c r="S459" i="9"/>
  <c r="S458" i="9"/>
  <c r="S457" i="9"/>
  <c r="S456" i="9"/>
  <c r="S455" i="9"/>
  <c r="S454" i="9"/>
  <c r="S453" i="9"/>
  <c r="S452" i="9"/>
  <c r="S451" i="9"/>
  <c r="S450" i="9"/>
  <c r="S449" i="9"/>
  <c r="S448" i="9"/>
  <c r="S447" i="9"/>
  <c r="S446" i="9"/>
  <c r="S445" i="9"/>
  <c r="S444" i="9"/>
  <c r="S443" i="9"/>
  <c r="S442" i="9"/>
  <c r="S441" i="9"/>
  <c r="S440" i="9"/>
  <c r="S439" i="9"/>
  <c r="S438" i="9"/>
  <c r="S437" i="9"/>
  <c r="S436" i="9"/>
  <c r="S435" i="9"/>
  <c r="S434" i="9"/>
  <c r="S433" i="9"/>
  <c r="S432" i="9"/>
  <c r="S431" i="9"/>
  <c r="S430" i="9"/>
  <c r="S429" i="9"/>
  <c r="S428" i="9"/>
  <c r="S427" i="9"/>
  <c r="S426" i="9"/>
  <c r="S425" i="9"/>
  <c r="S424" i="9"/>
  <c r="S423" i="9"/>
  <c r="S422" i="9"/>
  <c r="S421" i="9"/>
  <c r="S420" i="9"/>
  <c r="S419" i="9"/>
  <c r="S418" i="9"/>
  <c r="S417" i="9"/>
  <c r="S416" i="9"/>
  <c r="S415" i="9"/>
  <c r="S414" i="9"/>
  <c r="S413" i="9"/>
  <c r="S412" i="9"/>
  <c r="S411" i="9"/>
  <c r="S410" i="9"/>
  <c r="S409" i="9"/>
  <c r="S408" i="9"/>
  <c r="S407" i="9"/>
  <c r="S406" i="9"/>
  <c r="S405" i="9"/>
  <c r="S404" i="9"/>
  <c r="S403" i="9"/>
  <c r="S402" i="9"/>
  <c r="S401" i="9"/>
  <c r="S400" i="9"/>
  <c r="S399" i="9"/>
  <c r="S398" i="9"/>
  <c r="S397" i="9"/>
  <c r="S396" i="9"/>
  <c r="S395" i="9"/>
  <c r="S394" i="9"/>
  <c r="S393" i="9"/>
  <c r="S392" i="9"/>
  <c r="S391" i="9"/>
  <c r="S390" i="9"/>
  <c r="S389" i="9"/>
  <c r="S388" i="9"/>
  <c r="S387" i="9"/>
  <c r="S386" i="9"/>
  <c r="S385" i="9"/>
  <c r="S384" i="9"/>
  <c r="S383" i="9"/>
  <c r="S382" i="9"/>
  <c r="S381" i="9"/>
  <c r="S380" i="9"/>
  <c r="S379" i="9"/>
  <c r="S378" i="9"/>
  <c r="S377" i="9"/>
  <c r="S376" i="9"/>
  <c r="S375" i="9"/>
  <c r="S374" i="9"/>
  <c r="S373" i="9"/>
  <c r="S372" i="9"/>
  <c r="S371" i="9"/>
  <c r="S370" i="9"/>
  <c r="S369" i="9"/>
  <c r="S368" i="9"/>
  <c r="S367" i="9"/>
  <c r="S366" i="9"/>
  <c r="S365" i="9"/>
  <c r="S364" i="9"/>
  <c r="S363" i="9"/>
  <c r="S362" i="9"/>
  <c r="S361" i="9"/>
  <c r="S360" i="9"/>
  <c r="S359" i="9"/>
  <c r="S358" i="9"/>
  <c r="S357" i="9"/>
  <c r="S356" i="9"/>
  <c r="S355" i="9"/>
  <c r="S354" i="9"/>
  <c r="S353" i="9"/>
  <c r="S352" i="9"/>
  <c r="S351" i="9"/>
  <c r="S350" i="9"/>
  <c r="S349" i="9"/>
  <c r="S348" i="9"/>
  <c r="S347" i="9"/>
  <c r="S346" i="9"/>
  <c r="S345" i="9"/>
  <c r="S344" i="9"/>
  <c r="S343" i="9"/>
  <c r="S342" i="9"/>
  <c r="S341" i="9"/>
  <c r="S340" i="9"/>
  <c r="S339" i="9"/>
  <c r="S338" i="9"/>
  <c r="S337" i="9"/>
  <c r="S336" i="9"/>
  <c r="S335" i="9"/>
  <c r="S334" i="9"/>
  <c r="S333" i="9"/>
  <c r="S332" i="9"/>
  <c r="S331" i="9"/>
  <c r="S330" i="9"/>
  <c r="S329" i="9"/>
  <c r="S328" i="9"/>
  <c r="S327" i="9"/>
  <c r="S326" i="9"/>
  <c r="S325" i="9"/>
  <c r="S324" i="9"/>
  <c r="S323" i="9"/>
  <c r="S322" i="9"/>
  <c r="S321" i="9"/>
  <c r="S320" i="9"/>
  <c r="S319" i="9"/>
  <c r="S318" i="9"/>
  <c r="S317" i="9"/>
  <c r="S316" i="9"/>
  <c r="S315" i="9"/>
  <c r="S314" i="9"/>
  <c r="S313" i="9"/>
  <c r="S312" i="9"/>
  <c r="S311" i="9"/>
  <c r="S310" i="9"/>
  <c r="S309" i="9"/>
  <c r="S308" i="9"/>
  <c r="S307" i="9"/>
  <c r="S306" i="9"/>
  <c r="S305" i="9"/>
  <c r="S304" i="9"/>
  <c r="S303" i="9"/>
  <c r="S302" i="9"/>
  <c r="S301" i="9"/>
  <c r="S300" i="9"/>
  <c r="S299" i="9"/>
  <c r="S298" i="9"/>
  <c r="S297" i="9"/>
  <c r="S296" i="9"/>
  <c r="S295" i="9"/>
  <c r="S294" i="9"/>
  <c r="S293" i="9"/>
  <c r="S292" i="9"/>
  <c r="S291" i="9"/>
  <c r="S290" i="9"/>
  <c r="S289" i="9"/>
  <c r="S288" i="9"/>
  <c r="S287" i="9"/>
  <c r="S286" i="9"/>
  <c r="S285" i="9"/>
  <c r="S284" i="9"/>
  <c r="S283" i="9"/>
  <c r="S282" i="9"/>
  <c r="S281" i="9"/>
  <c r="S280" i="9"/>
  <c r="S279" i="9"/>
  <c r="S278" i="9"/>
  <c r="S277" i="9"/>
  <c r="S276" i="9"/>
  <c r="S275" i="9"/>
  <c r="S274" i="9"/>
  <c r="S273" i="9"/>
  <c r="S272" i="9"/>
  <c r="S271" i="9"/>
  <c r="S270" i="9"/>
  <c r="S269" i="9"/>
  <c r="S268" i="9"/>
  <c r="S267" i="9"/>
  <c r="S266" i="9"/>
  <c r="S265" i="9"/>
  <c r="S264" i="9"/>
  <c r="S263" i="9"/>
  <c r="S262" i="9"/>
  <c r="S261" i="9"/>
  <c r="S260" i="9"/>
  <c r="S259" i="9"/>
  <c r="S258" i="9"/>
  <c r="S257" i="9"/>
  <c r="S256" i="9"/>
  <c r="S255" i="9"/>
  <c r="S254" i="9"/>
  <c r="S253" i="9"/>
  <c r="S252" i="9"/>
  <c r="S251" i="9"/>
  <c r="S250" i="9"/>
  <c r="S249" i="9"/>
  <c r="S248" i="9"/>
  <c r="S247" i="9"/>
  <c r="S246" i="9"/>
  <c r="S245" i="9"/>
  <c r="S244" i="9"/>
  <c r="S243" i="9"/>
  <c r="S242" i="9"/>
  <c r="S241" i="9"/>
  <c r="S240" i="9"/>
  <c r="S239" i="9"/>
  <c r="S238" i="9"/>
  <c r="S237" i="9"/>
  <c r="S236" i="9"/>
  <c r="S235" i="9"/>
  <c r="S234" i="9"/>
  <c r="S233" i="9"/>
  <c r="S232" i="9"/>
  <c r="S231" i="9"/>
  <c r="S230" i="9"/>
  <c r="S229" i="9"/>
  <c r="S228" i="9"/>
  <c r="S227" i="9"/>
  <c r="S226" i="9"/>
  <c r="S225" i="9"/>
  <c r="S224" i="9"/>
  <c r="S223" i="9"/>
  <c r="S222" i="9"/>
  <c r="S221" i="9"/>
  <c r="S220" i="9"/>
  <c r="S219" i="9"/>
  <c r="S218" i="9"/>
  <c r="S217" i="9"/>
  <c r="S216" i="9"/>
  <c r="S215" i="9"/>
  <c r="S214" i="9"/>
  <c r="S213" i="9"/>
  <c r="S212" i="9"/>
  <c r="S211" i="9"/>
  <c r="S210" i="9"/>
  <c r="S209" i="9"/>
  <c r="S208" i="9"/>
  <c r="S207" i="9"/>
  <c r="S206" i="9"/>
  <c r="S205" i="9"/>
  <c r="S204" i="9"/>
  <c r="S203" i="9"/>
  <c r="S202" i="9"/>
  <c r="S201" i="9"/>
  <c r="S200" i="9"/>
  <c r="S199" i="9"/>
  <c r="S198" i="9"/>
  <c r="S197" i="9"/>
  <c r="S196" i="9"/>
  <c r="S195" i="9"/>
  <c r="S194" i="9"/>
  <c r="S193" i="9"/>
  <c r="S192" i="9"/>
  <c r="S191" i="9"/>
  <c r="S190" i="9"/>
  <c r="S189" i="9"/>
  <c r="S188" i="9"/>
  <c r="S187" i="9"/>
  <c r="S186" i="9"/>
  <c r="S185" i="9"/>
  <c r="S184" i="9"/>
  <c r="S183" i="9"/>
  <c r="S182" i="9"/>
  <c r="S181" i="9"/>
  <c r="S180" i="9"/>
  <c r="S179" i="9"/>
  <c r="S178" i="9"/>
  <c r="S177" i="9"/>
  <c r="S176" i="9"/>
  <c r="S175" i="9"/>
  <c r="S174" i="9"/>
  <c r="S173" i="9"/>
  <c r="S172" i="9"/>
  <c r="S171" i="9"/>
  <c r="S170" i="9"/>
  <c r="S169" i="9"/>
  <c r="S168" i="9"/>
  <c r="S167" i="9"/>
  <c r="S166" i="9"/>
  <c r="S165" i="9"/>
  <c r="S164" i="9"/>
  <c r="S163" i="9"/>
  <c r="S162" i="9"/>
  <c r="S161" i="9"/>
  <c r="S160" i="9"/>
  <c r="S159" i="9"/>
  <c r="S158" i="9"/>
  <c r="S157" i="9"/>
  <c r="S156" i="9"/>
  <c r="S155" i="9"/>
  <c r="S154" i="9"/>
  <c r="S153" i="9"/>
  <c r="S152" i="9"/>
  <c r="S151" i="9"/>
  <c r="S150" i="9"/>
  <c r="S149" i="9"/>
  <c r="S148" i="9"/>
  <c r="S147" i="9"/>
  <c r="S146" i="9"/>
  <c r="S145" i="9"/>
  <c r="S144" i="9"/>
  <c r="S143" i="9"/>
  <c r="S142" i="9"/>
  <c r="S141" i="9"/>
  <c r="S140" i="9"/>
  <c r="S139" i="9"/>
  <c r="S138" i="9"/>
  <c r="S137" i="9"/>
  <c r="S136" i="9"/>
  <c r="S135" i="9"/>
  <c r="S134" i="9"/>
  <c r="S133" i="9"/>
  <c r="S132" i="9"/>
  <c r="S131" i="9"/>
  <c r="S130" i="9"/>
  <c r="S129" i="9"/>
  <c r="S128" i="9"/>
  <c r="S127" i="9"/>
  <c r="S126" i="9"/>
  <c r="S125" i="9"/>
  <c r="S124" i="9"/>
  <c r="S123" i="9"/>
  <c r="S122" i="9"/>
  <c r="S121" i="9"/>
  <c r="S120" i="9"/>
  <c r="S119" i="9"/>
  <c r="S118" i="9"/>
  <c r="S117" i="9"/>
  <c r="S116" i="9"/>
  <c r="S115" i="9"/>
  <c r="S114" i="9"/>
  <c r="S113" i="9"/>
  <c r="S112" i="9"/>
  <c r="S111" i="9"/>
  <c r="S110" i="9"/>
  <c r="S109" i="9"/>
  <c r="S108" i="9"/>
  <c r="S107" i="9"/>
  <c r="S106" i="9"/>
  <c r="S105" i="9"/>
  <c r="S104" i="9"/>
  <c r="S103" i="9"/>
  <c r="S102" i="9"/>
  <c r="S101" i="9"/>
  <c r="S100" i="9"/>
  <c r="S99" i="9"/>
  <c r="S98" i="9"/>
  <c r="S97" i="9"/>
  <c r="S96" i="9"/>
  <c r="S95" i="9"/>
  <c r="S94" i="9"/>
  <c r="S93" i="9"/>
  <c r="S92" i="9"/>
  <c r="S91" i="9"/>
  <c r="S90" i="9"/>
  <c r="S89" i="9"/>
  <c r="S88" i="9"/>
  <c r="S87" i="9"/>
  <c r="S86" i="9"/>
  <c r="S85" i="9"/>
  <c r="S84" i="9"/>
  <c r="S83" i="9"/>
  <c r="S82" i="9"/>
  <c r="S81" i="9"/>
  <c r="S80" i="9"/>
  <c r="S79" i="9"/>
  <c r="S78" i="9"/>
  <c r="S77" i="9"/>
  <c r="S76" i="9"/>
  <c r="S75" i="9"/>
  <c r="S74" i="9"/>
  <c r="S73" i="9"/>
  <c r="S72" i="9"/>
  <c r="S71" i="9"/>
  <c r="S70" i="9"/>
  <c r="S69" i="9"/>
  <c r="S68" i="9"/>
  <c r="S67" i="9"/>
  <c r="S66" i="9"/>
  <c r="S65" i="9"/>
  <c r="S64" i="9"/>
  <c r="S63" i="9"/>
  <c r="S62" i="9"/>
  <c r="S61" i="9"/>
  <c r="S60" i="9"/>
  <c r="S59" i="9"/>
  <c r="S58" i="9"/>
  <c r="S57" i="9"/>
  <c r="S56" i="9"/>
  <c r="S55" i="9"/>
  <c r="S54" i="9"/>
  <c r="S53" i="9"/>
  <c r="S52" i="9"/>
  <c r="S51" i="9"/>
  <c r="S50" i="9"/>
  <c r="S49" i="9"/>
  <c r="S48" i="9"/>
  <c r="S47" i="9"/>
  <c r="S46" i="9"/>
  <c r="S45" i="9"/>
  <c r="S44" i="9"/>
  <c r="S43" i="9"/>
  <c r="S42" i="9"/>
  <c r="S41" i="9"/>
  <c r="S40" i="9"/>
  <c r="S39" i="9"/>
  <c r="S38" i="9"/>
  <c r="S37" i="9"/>
  <c r="S36" i="9"/>
  <c r="S35" i="9"/>
  <c r="S34" i="9"/>
  <c r="S33" i="9"/>
  <c r="S32" i="9"/>
  <c r="S31" i="9"/>
  <c r="S30" i="9"/>
  <c r="S29" i="9"/>
  <c r="S28" i="9"/>
  <c r="S27" i="9"/>
  <c r="S26" i="9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S10" i="9"/>
  <c r="S9" i="9"/>
  <c r="S8" i="9"/>
  <c r="S7" i="9"/>
  <c r="I58" i="2" s="1"/>
  <c r="I61" i="2" s="1"/>
  <c r="H9" i="2" s="1"/>
  <c r="I9" i="2" s="1"/>
  <c r="S6" i="9"/>
  <c r="S5" i="9"/>
  <c r="S4" i="9"/>
  <c r="S530" i="8"/>
  <c r="S529" i="8"/>
  <c r="S528" i="8"/>
  <c r="S527" i="8"/>
  <c r="S526" i="8"/>
  <c r="S525" i="8"/>
  <c r="S524" i="8"/>
  <c r="S523" i="8"/>
  <c r="S522" i="8"/>
  <c r="S521" i="8"/>
  <c r="S520" i="8"/>
  <c r="S519" i="8"/>
  <c r="S518" i="8"/>
  <c r="S517" i="8"/>
  <c r="S516" i="8"/>
  <c r="S515" i="8"/>
  <c r="S514" i="8"/>
  <c r="S513" i="8"/>
  <c r="S512" i="8"/>
  <c r="S511" i="8"/>
  <c r="S510" i="8"/>
  <c r="S509" i="8"/>
  <c r="S508" i="8"/>
  <c r="S507" i="8"/>
  <c r="S506" i="8"/>
  <c r="S505" i="8"/>
  <c r="S504" i="8"/>
  <c r="S503" i="8"/>
  <c r="S502" i="8"/>
  <c r="S501" i="8"/>
  <c r="S500" i="8"/>
  <c r="S499" i="8"/>
  <c r="S498" i="8"/>
  <c r="S497" i="8"/>
  <c r="S496" i="8"/>
  <c r="S495" i="8"/>
  <c r="S494" i="8"/>
  <c r="S493" i="8"/>
  <c r="S492" i="8"/>
  <c r="S491" i="8"/>
  <c r="S490" i="8"/>
  <c r="S489" i="8"/>
  <c r="S488" i="8"/>
  <c r="S487" i="8"/>
  <c r="S486" i="8"/>
  <c r="S485" i="8"/>
  <c r="S484" i="8"/>
  <c r="S483" i="8"/>
  <c r="S482" i="8"/>
  <c r="S481" i="8"/>
  <c r="S480" i="8"/>
  <c r="S479" i="8"/>
  <c r="S478" i="8"/>
  <c r="S477" i="8"/>
  <c r="S476" i="8"/>
  <c r="S475" i="8"/>
  <c r="S474" i="8"/>
  <c r="S473" i="8"/>
  <c r="S472" i="8"/>
  <c r="S471" i="8"/>
  <c r="S470" i="8"/>
  <c r="S469" i="8"/>
  <c r="S468" i="8"/>
  <c r="S467" i="8"/>
  <c r="S466" i="8"/>
  <c r="S465" i="8"/>
  <c r="S464" i="8"/>
  <c r="S463" i="8"/>
  <c r="S462" i="8"/>
  <c r="S461" i="8"/>
  <c r="S460" i="8"/>
  <c r="S459" i="8"/>
  <c r="S458" i="8"/>
  <c r="S457" i="8"/>
  <c r="S456" i="8"/>
  <c r="S455" i="8"/>
  <c r="S454" i="8"/>
  <c r="S453" i="8"/>
  <c r="S452" i="8"/>
  <c r="S451" i="8"/>
  <c r="S450" i="8"/>
  <c r="S449" i="8"/>
  <c r="S448" i="8"/>
  <c r="S447" i="8"/>
  <c r="S446" i="8"/>
  <c r="S445" i="8"/>
  <c r="S444" i="8"/>
  <c r="S443" i="8"/>
  <c r="S442" i="8"/>
  <c r="S441" i="8"/>
  <c r="S440" i="8"/>
  <c r="S439" i="8"/>
  <c r="S438" i="8"/>
  <c r="S437" i="8"/>
  <c r="S436" i="8"/>
  <c r="S435" i="8"/>
  <c r="S434" i="8"/>
  <c r="S433" i="8"/>
  <c r="S432" i="8"/>
  <c r="S431" i="8"/>
  <c r="S430" i="8"/>
  <c r="S429" i="8"/>
  <c r="S428" i="8"/>
  <c r="S427" i="8"/>
  <c r="S426" i="8"/>
  <c r="S425" i="8"/>
  <c r="S424" i="8"/>
  <c r="S423" i="8"/>
  <c r="S422" i="8"/>
  <c r="S421" i="8"/>
  <c r="S420" i="8"/>
  <c r="S419" i="8"/>
  <c r="S418" i="8"/>
  <c r="S417" i="8"/>
  <c r="S416" i="8"/>
  <c r="S415" i="8"/>
  <c r="S414" i="8"/>
  <c r="S413" i="8"/>
  <c r="S412" i="8"/>
  <c r="S411" i="8"/>
  <c r="S410" i="8"/>
  <c r="S409" i="8"/>
  <c r="S408" i="8"/>
  <c r="S407" i="8"/>
  <c r="S406" i="8"/>
  <c r="S405" i="8"/>
  <c r="S404" i="8"/>
  <c r="S403" i="8"/>
  <c r="S402" i="8"/>
  <c r="S401" i="8"/>
  <c r="S400" i="8"/>
  <c r="S399" i="8"/>
  <c r="S398" i="8"/>
  <c r="S397" i="8"/>
  <c r="S396" i="8"/>
  <c r="S395" i="8"/>
  <c r="S394" i="8"/>
  <c r="S393" i="8"/>
  <c r="S392" i="8"/>
  <c r="S391" i="8"/>
  <c r="S390" i="8"/>
  <c r="S389" i="8"/>
  <c r="S388" i="8"/>
  <c r="S387" i="8"/>
  <c r="S386" i="8"/>
  <c r="S385" i="8"/>
  <c r="S384" i="8"/>
  <c r="S383" i="8"/>
  <c r="S382" i="8"/>
  <c r="S381" i="8"/>
  <c r="S380" i="8"/>
  <c r="S379" i="8"/>
  <c r="S378" i="8"/>
  <c r="S377" i="8"/>
  <c r="S376" i="8"/>
  <c r="S375" i="8"/>
  <c r="S374" i="8"/>
  <c r="S373" i="8"/>
  <c r="S372" i="8"/>
  <c r="S371" i="8"/>
  <c r="S370" i="8"/>
  <c r="S369" i="8"/>
  <c r="S368" i="8"/>
  <c r="S367" i="8"/>
  <c r="S366" i="8"/>
  <c r="S365" i="8"/>
  <c r="S364" i="8"/>
  <c r="S363" i="8"/>
  <c r="S362" i="8"/>
  <c r="S361" i="8"/>
  <c r="S360" i="8"/>
  <c r="S359" i="8"/>
  <c r="S358" i="8"/>
  <c r="S357" i="8"/>
  <c r="S356" i="8"/>
  <c r="S355" i="8"/>
  <c r="S354" i="8"/>
  <c r="S353" i="8"/>
  <c r="S352" i="8"/>
  <c r="S351" i="8"/>
  <c r="S350" i="8"/>
  <c r="S349" i="8"/>
  <c r="S348" i="8"/>
  <c r="S347" i="8"/>
  <c r="S346" i="8"/>
  <c r="S345" i="8"/>
  <c r="S344" i="8"/>
  <c r="S343" i="8"/>
  <c r="S342" i="8"/>
  <c r="S341" i="8"/>
  <c r="S340" i="8"/>
  <c r="S339" i="8"/>
  <c r="S338" i="8"/>
  <c r="S337" i="8"/>
  <c r="S336" i="8"/>
  <c r="S335" i="8"/>
  <c r="S334" i="8"/>
  <c r="S333" i="8"/>
  <c r="S332" i="8"/>
  <c r="S331" i="8"/>
  <c r="S330" i="8"/>
  <c r="S329" i="8"/>
  <c r="S328" i="8"/>
  <c r="S327" i="8"/>
  <c r="S326" i="8"/>
  <c r="S325" i="8"/>
  <c r="S324" i="8"/>
  <c r="S323" i="8"/>
  <c r="S322" i="8"/>
  <c r="S321" i="8"/>
  <c r="S320" i="8"/>
  <c r="S319" i="8"/>
  <c r="S318" i="8"/>
  <c r="S317" i="8"/>
  <c r="S316" i="8"/>
  <c r="S315" i="8"/>
  <c r="S314" i="8"/>
  <c r="S313" i="8"/>
  <c r="S312" i="8"/>
  <c r="S311" i="8"/>
  <c r="S310" i="8"/>
  <c r="S309" i="8"/>
  <c r="S308" i="8"/>
  <c r="S307" i="8"/>
  <c r="S306" i="8"/>
  <c r="S305" i="8"/>
  <c r="S304" i="8"/>
  <c r="S303" i="8"/>
  <c r="S302" i="8"/>
  <c r="S301" i="8"/>
  <c r="S300" i="8"/>
  <c r="S299" i="8"/>
  <c r="S298" i="8"/>
  <c r="S297" i="8"/>
  <c r="S296" i="8"/>
  <c r="S295" i="8"/>
  <c r="S294" i="8"/>
  <c r="S293" i="8"/>
  <c r="S292" i="8"/>
  <c r="S291" i="8"/>
  <c r="S290" i="8"/>
  <c r="S289" i="8"/>
  <c r="S288" i="8"/>
  <c r="S287" i="8"/>
  <c r="S286" i="8"/>
  <c r="S285" i="8"/>
  <c r="S284" i="8"/>
  <c r="S283" i="8"/>
  <c r="S282" i="8"/>
  <c r="S281" i="8"/>
  <c r="S280" i="8"/>
  <c r="S279" i="8"/>
  <c r="S278" i="8"/>
  <c r="S277" i="8"/>
  <c r="S276" i="8"/>
  <c r="S275" i="8"/>
  <c r="S274" i="8"/>
  <c r="S273" i="8"/>
  <c r="S272" i="8"/>
  <c r="S271" i="8"/>
  <c r="S270" i="8"/>
  <c r="S269" i="8"/>
  <c r="S268" i="8"/>
  <c r="S267" i="8"/>
  <c r="S266" i="8"/>
  <c r="S265" i="8"/>
  <c r="S264" i="8"/>
  <c r="S263" i="8"/>
  <c r="S262" i="8"/>
  <c r="S261" i="8"/>
  <c r="S260" i="8"/>
  <c r="S259" i="8"/>
  <c r="S258" i="8"/>
  <c r="S257" i="8"/>
  <c r="S256" i="8"/>
  <c r="S255" i="8"/>
  <c r="S254" i="8"/>
  <c r="S253" i="8"/>
  <c r="S252" i="8"/>
  <c r="S251" i="8"/>
  <c r="S250" i="8"/>
  <c r="S249" i="8"/>
  <c r="S248" i="8"/>
  <c r="S247" i="8"/>
  <c r="S246" i="8"/>
  <c r="S245" i="8"/>
  <c r="S244" i="8"/>
  <c r="S243" i="8"/>
  <c r="S242" i="8"/>
  <c r="S241" i="8"/>
  <c r="S240" i="8"/>
  <c r="S239" i="8"/>
  <c r="S238" i="8"/>
  <c r="S237" i="8"/>
  <c r="S236" i="8"/>
  <c r="S235" i="8"/>
  <c r="S234" i="8"/>
  <c r="S233" i="8"/>
  <c r="S232" i="8"/>
  <c r="S231" i="8"/>
  <c r="S230" i="8"/>
  <c r="S229" i="8"/>
  <c r="S228" i="8"/>
  <c r="S227" i="8"/>
  <c r="S226" i="8"/>
  <c r="S225" i="8"/>
  <c r="S224" i="8"/>
  <c r="S223" i="8"/>
  <c r="S222" i="8"/>
  <c r="S221" i="8"/>
  <c r="S220" i="8"/>
  <c r="S219" i="8"/>
  <c r="S218" i="8"/>
  <c r="S217" i="8"/>
  <c r="S216" i="8"/>
  <c r="S215" i="8"/>
  <c r="S214" i="8"/>
  <c r="S213" i="8"/>
  <c r="S21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S181" i="8"/>
  <c r="S180" i="8"/>
  <c r="S179" i="8"/>
  <c r="S178" i="8"/>
  <c r="S177" i="8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S147" i="8"/>
  <c r="S146" i="8"/>
  <c r="S145" i="8"/>
  <c r="S144" i="8"/>
  <c r="S143" i="8"/>
  <c r="S142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S112" i="8"/>
  <c r="S111" i="8"/>
  <c r="S110" i="8"/>
  <c r="S109" i="8"/>
  <c r="S108" i="8"/>
  <c r="S107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S77" i="8"/>
  <c r="S76" i="8"/>
  <c r="S75" i="8"/>
  <c r="S74" i="8"/>
  <c r="S73" i="8"/>
  <c r="S72" i="8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I53" i="2" s="1"/>
  <c r="S17" i="8"/>
  <c r="I52" i="2" s="1"/>
  <c r="S16" i="8"/>
  <c r="S15" i="8"/>
  <c r="S9" i="8"/>
  <c r="I51" i="2" s="1"/>
  <c r="S7" i="8"/>
  <c r="S6" i="8"/>
  <c r="S5" i="8"/>
  <c r="S4" i="8"/>
  <c r="I50" i="2"/>
  <c r="I45" i="2"/>
  <c r="D44" i="2"/>
  <c r="D45" i="2"/>
  <c r="S527" i="7"/>
  <c r="S526" i="7"/>
  <c r="S525" i="7"/>
  <c r="S524" i="7"/>
  <c r="S523" i="7"/>
  <c r="S522" i="7"/>
  <c r="S521" i="7"/>
  <c r="S520" i="7"/>
  <c r="S519" i="7"/>
  <c r="S518" i="7"/>
  <c r="S517" i="7"/>
  <c r="S516" i="7"/>
  <c r="S515" i="7"/>
  <c r="S514" i="7"/>
  <c r="S513" i="7"/>
  <c r="S512" i="7"/>
  <c r="S511" i="7"/>
  <c r="S510" i="7"/>
  <c r="S509" i="7"/>
  <c r="S508" i="7"/>
  <c r="S507" i="7"/>
  <c r="S506" i="7"/>
  <c r="S505" i="7"/>
  <c r="S504" i="7"/>
  <c r="S503" i="7"/>
  <c r="S502" i="7"/>
  <c r="S501" i="7"/>
  <c r="S500" i="7"/>
  <c r="S499" i="7"/>
  <c r="S498" i="7"/>
  <c r="S497" i="7"/>
  <c r="S496" i="7"/>
  <c r="S495" i="7"/>
  <c r="S494" i="7"/>
  <c r="S493" i="7"/>
  <c r="S492" i="7"/>
  <c r="S491" i="7"/>
  <c r="S490" i="7"/>
  <c r="S489" i="7"/>
  <c r="S488" i="7"/>
  <c r="S487" i="7"/>
  <c r="S486" i="7"/>
  <c r="S485" i="7"/>
  <c r="S484" i="7"/>
  <c r="S483" i="7"/>
  <c r="S482" i="7"/>
  <c r="S481" i="7"/>
  <c r="S480" i="7"/>
  <c r="S479" i="7"/>
  <c r="S478" i="7"/>
  <c r="S477" i="7"/>
  <c r="S476" i="7"/>
  <c r="S475" i="7"/>
  <c r="S474" i="7"/>
  <c r="S473" i="7"/>
  <c r="S472" i="7"/>
  <c r="S471" i="7"/>
  <c r="S470" i="7"/>
  <c r="S469" i="7"/>
  <c r="S468" i="7"/>
  <c r="S467" i="7"/>
  <c r="S466" i="7"/>
  <c r="S465" i="7"/>
  <c r="S464" i="7"/>
  <c r="S463" i="7"/>
  <c r="S462" i="7"/>
  <c r="S461" i="7"/>
  <c r="S460" i="7"/>
  <c r="S459" i="7"/>
  <c r="S458" i="7"/>
  <c r="S457" i="7"/>
  <c r="S456" i="7"/>
  <c r="S455" i="7"/>
  <c r="S454" i="7"/>
  <c r="S453" i="7"/>
  <c r="S452" i="7"/>
  <c r="S451" i="7"/>
  <c r="S450" i="7"/>
  <c r="S449" i="7"/>
  <c r="S448" i="7"/>
  <c r="S447" i="7"/>
  <c r="S446" i="7"/>
  <c r="S445" i="7"/>
  <c r="S444" i="7"/>
  <c r="S443" i="7"/>
  <c r="S442" i="7"/>
  <c r="S441" i="7"/>
  <c r="S440" i="7"/>
  <c r="S439" i="7"/>
  <c r="S438" i="7"/>
  <c r="S437" i="7"/>
  <c r="S436" i="7"/>
  <c r="S435" i="7"/>
  <c r="S434" i="7"/>
  <c r="S433" i="7"/>
  <c r="S432" i="7"/>
  <c r="S431" i="7"/>
  <c r="S430" i="7"/>
  <c r="S429" i="7"/>
  <c r="S428" i="7"/>
  <c r="S427" i="7"/>
  <c r="S426" i="7"/>
  <c r="S425" i="7"/>
  <c r="S424" i="7"/>
  <c r="S423" i="7"/>
  <c r="S422" i="7"/>
  <c r="S421" i="7"/>
  <c r="S420" i="7"/>
  <c r="S419" i="7"/>
  <c r="S418" i="7"/>
  <c r="S417" i="7"/>
  <c r="S416" i="7"/>
  <c r="S415" i="7"/>
  <c r="S414" i="7"/>
  <c r="S413" i="7"/>
  <c r="S412" i="7"/>
  <c r="S411" i="7"/>
  <c r="S410" i="7"/>
  <c r="S409" i="7"/>
  <c r="S408" i="7"/>
  <c r="S407" i="7"/>
  <c r="S406" i="7"/>
  <c r="S405" i="7"/>
  <c r="S404" i="7"/>
  <c r="S403" i="7"/>
  <c r="S402" i="7"/>
  <c r="S401" i="7"/>
  <c r="S400" i="7"/>
  <c r="S399" i="7"/>
  <c r="S398" i="7"/>
  <c r="S397" i="7"/>
  <c r="S396" i="7"/>
  <c r="S395" i="7"/>
  <c r="S394" i="7"/>
  <c r="S393" i="7"/>
  <c r="S392" i="7"/>
  <c r="S391" i="7"/>
  <c r="S390" i="7"/>
  <c r="S389" i="7"/>
  <c r="S388" i="7"/>
  <c r="S387" i="7"/>
  <c r="S386" i="7"/>
  <c r="S385" i="7"/>
  <c r="S384" i="7"/>
  <c r="S383" i="7"/>
  <c r="S382" i="7"/>
  <c r="S381" i="7"/>
  <c r="S380" i="7"/>
  <c r="S379" i="7"/>
  <c r="S378" i="7"/>
  <c r="S377" i="7"/>
  <c r="S376" i="7"/>
  <c r="S375" i="7"/>
  <c r="S374" i="7"/>
  <c r="S373" i="7"/>
  <c r="S372" i="7"/>
  <c r="S371" i="7"/>
  <c r="S370" i="7"/>
  <c r="S369" i="7"/>
  <c r="S368" i="7"/>
  <c r="S367" i="7"/>
  <c r="S366" i="7"/>
  <c r="S365" i="7"/>
  <c r="S364" i="7"/>
  <c r="S363" i="7"/>
  <c r="S362" i="7"/>
  <c r="S361" i="7"/>
  <c r="S360" i="7"/>
  <c r="S359" i="7"/>
  <c r="S358" i="7"/>
  <c r="S357" i="7"/>
  <c r="S356" i="7"/>
  <c r="S355" i="7"/>
  <c r="S354" i="7"/>
  <c r="S353" i="7"/>
  <c r="S352" i="7"/>
  <c r="S351" i="7"/>
  <c r="S350" i="7"/>
  <c r="S349" i="7"/>
  <c r="S348" i="7"/>
  <c r="S347" i="7"/>
  <c r="S346" i="7"/>
  <c r="S345" i="7"/>
  <c r="S344" i="7"/>
  <c r="S343" i="7"/>
  <c r="S342" i="7"/>
  <c r="S341" i="7"/>
  <c r="S340" i="7"/>
  <c r="S339" i="7"/>
  <c r="S338" i="7"/>
  <c r="S337" i="7"/>
  <c r="S336" i="7"/>
  <c r="S335" i="7"/>
  <c r="S334" i="7"/>
  <c r="S333" i="7"/>
  <c r="S332" i="7"/>
  <c r="S331" i="7"/>
  <c r="S330" i="7"/>
  <c r="S329" i="7"/>
  <c r="S328" i="7"/>
  <c r="S327" i="7"/>
  <c r="S326" i="7"/>
  <c r="S325" i="7"/>
  <c r="S324" i="7"/>
  <c r="S323" i="7"/>
  <c r="S322" i="7"/>
  <c r="S321" i="7"/>
  <c r="S320" i="7"/>
  <c r="S319" i="7"/>
  <c r="S318" i="7"/>
  <c r="S317" i="7"/>
  <c r="S316" i="7"/>
  <c r="S315" i="7"/>
  <c r="S314" i="7"/>
  <c r="S313" i="7"/>
  <c r="S312" i="7"/>
  <c r="S311" i="7"/>
  <c r="S310" i="7"/>
  <c r="S309" i="7"/>
  <c r="S308" i="7"/>
  <c r="S307" i="7"/>
  <c r="S306" i="7"/>
  <c r="S305" i="7"/>
  <c r="S304" i="7"/>
  <c r="S303" i="7"/>
  <c r="S302" i="7"/>
  <c r="S301" i="7"/>
  <c r="S300" i="7"/>
  <c r="S299" i="7"/>
  <c r="S298" i="7"/>
  <c r="S297" i="7"/>
  <c r="S296" i="7"/>
  <c r="S295" i="7"/>
  <c r="S294" i="7"/>
  <c r="S293" i="7"/>
  <c r="S292" i="7"/>
  <c r="S291" i="7"/>
  <c r="S290" i="7"/>
  <c r="S289" i="7"/>
  <c r="S288" i="7"/>
  <c r="S287" i="7"/>
  <c r="S286" i="7"/>
  <c r="S285" i="7"/>
  <c r="S284" i="7"/>
  <c r="S283" i="7"/>
  <c r="S282" i="7"/>
  <c r="S281" i="7"/>
  <c r="S280" i="7"/>
  <c r="S279" i="7"/>
  <c r="S278" i="7"/>
  <c r="S277" i="7"/>
  <c r="S276" i="7"/>
  <c r="S275" i="7"/>
  <c r="S274" i="7"/>
  <c r="S273" i="7"/>
  <c r="S272" i="7"/>
  <c r="S271" i="7"/>
  <c r="S270" i="7"/>
  <c r="S269" i="7"/>
  <c r="S268" i="7"/>
  <c r="S267" i="7"/>
  <c r="S266" i="7"/>
  <c r="S265" i="7"/>
  <c r="S264" i="7"/>
  <c r="S263" i="7"/>
  <c r="S262" i="7"/>
  <c r="S261" i="7"/>
  <c r="S260" i="7"/>
  <c r="S259" i="7"/>
  <c r="S258" i="7"/>
  <c r="S257" i="7"/>
  <c r="S256" i="7"/>
  <c r="S255" i="7"/>
  <c r="S254" i="7"/>
  <c r="S253" i="7"/>
  <c r="S252" i="7"/>
  <c r="S251" i="7"/>
  <c r="S250" i="7"/>
  <c r="S249" i="7"/>
  <c r="S248" i="7"/>
  <c r="S247" i="7"/>
  <c r="S246" i="7"/>
  <c r="S245" i="7"/>
  <c r="S244" i="7"/>
  <c r="S243" i="7"/>
  <c r="S242" i="7"/>
  <c r="S241" i="7"/>
  <c r="S240" i="7"/>
  <c r="S239" i="7"/>
  <c r="S238" i="7"/>
  <c r="S237" i="7"/>
  <c r="S236" i="7"/>
  <c r="S235" i="7"/>
  <c r="S234" i="7"/>
  <c r="S233" i="7"/>
  <c r="S232" i="7"/>
  <c r="S231" i="7"/>
  <c r="S230" i="7"/>
  <c r="S229" i="7"/>
  <c r="S228" i="7"/>
  <c r="S227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D38" i="2"/>
  <c r="D36" i="2"/>
  <c r="S525" i="5"/>
  <c r="S524" i="5"/>
  <c r="S523" i="5"/>
  <c r="S522" i="5"/>
  <c r="S521" i="5"/>
  <c r="S520" i="5"/>
  <c r="S519" i="5"/>
  <c r="S518" i="5"/>
  <c r="S517" i="5"/>
  <c r="S516" i="5"/>
  <c r="S515" i="5"/>
  <c r="S514" i="5"/>
  <c r="S513" i="5"/>
  <c r="S512" i="5"/>
  <c r="S511" i="5"/>
  <c r="S510" i="5"/>
  <c r="S509" i="5"/>
  <c r="S508" i="5"/>
  <c r="S507" i="5"/>
  <c r="S506" i="5"/>
  <c r="S505" i="5"/>
  <c r="S504" i="5"/>
  <c r="S503" i="5"/>
  <c r="S502" i="5"/>
  <c r="S501" i="5"/>
  <c r="S500" i="5"/>
  <c r="S499" i="5"/>
  <c r="S498" i="5"/>
  <c r="S497" i="5"/>
  <c r="S496" i="5"/>
  <c r="S495" i="5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S464" i="5"/>
  <c r="S463" i="5"/>
  <c r="S462" i="5"/>
  <c r="S461" i="5"/>
  <c r="S460" i="5"/>
  <c r="S459" i="5"/>
  <c r="S458" i="5"/>
  <c r="S457" i="5"/>
  <c r="S456" i="5"/>
  <c r="S455" i="5"/>
  <c r="S454" i="5"/>
  <c r="S453" i="5"/>
  <c r="S452" i="5"/>
  <c r="S451" i="5"/>
  <c r="S450" i="5"/>
  <c r="S449" i="5"/>
  <c r="S448" i="5"/>
  <c r="S447" i="5"/>
  <c r="S446" i="5"/>
  <c r="S445" i="5"/>
  <c r="S444" i="5"/>
  <c r="S443" i="5"/>
  <c r="S442" i="5"/>
  <c r="S441" i="5"/>
  <c r="S440" i="5"/>
  <c r="S439" i="5"/>
  <c r="S438" i="5"/>
  <c r="S437" i="5"/>
  <c r="S436" i="5"/>
  <c r="S435" i="5"/>
  <c r="S434" i="5"/>
  <c r="S433" i="5"/>
  <c r="S432" i="5"/>
  <c r="S431" i="5"/>
  <c r="S430" i="5"/>
  <c r="S429" i="5"/>
  <c r="S428" i="5"/>
  <c r="S427" i="5"/>
  <c r="S426" i="5"/>
  <c r="S425" i="5"/>
  <c r="S424" i="5"/>
  <c r="S423" i="5"/>
  <c r="S422" i="5"/>
  <c r="S421" i="5"/>
  <c r="S420" i="5"/>
  <c r="S419" i="5"/>
  <c r="S418" i="5"/>
  <c r="S417" i="5"/>
  <c r="S416" i="5"/>
  <c r="S415" i="5"/>
  <c r="S414" i="5"/>
  <c r="S413" i="5"/>
  <c r="S412" i="5"/>
  <c r="S411" i="5"/>
  <c r="S410" i="5"/>
  <c r="S409" i="5"/>
  <c r="S408" i="5"/>
  <c r="S407" i="5"/>
  <c r="S406" i="5"/>
  <c r="S405" i="5"/>
  <c r="S404" i="5"/>
  <c r="S403" i="5"/>
  <c r="S402" i="5"/>
  <c r="S401" i="5"/>
  <c r="S400" i="5"/>
  <c r="S399" i="5"/>
  <c r="S398" i="5"/>
  <c r="S397" i="5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82" i="5"/>
  <c r="S381" i="5"/>
  <c r="S380" i="5"/>
  <c r="S379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I38" i="2"/>
  <c r="D31" i="2"/>
  <c r="D32" i="2"/>
  <c r="D30" i="2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I32" i="2"/>
  <c r="S2" i="4"/>
  <c r="D17" i="2"/>
  <c r="I21" i="2"/>
  <c r="S47" i="1"/>
  <c r="S48" i="1"/>
  <c r="S49" i="1"/>
  <c r="S50" i="1"/>
  <c r="I20" i="2" s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2" i="1"/>
  <c r="I64" i="2" l="1"/>
  <c r="I67" i="2" s="1"/>
  <c r="H10" i="2" s="1"/>
  <c r="I10" i="2" s="1"/>
  <c r="I49" i="2"/>
  <c r="I55" i="2" s="1"/>
  <c r="H8" i="2" s="1"/>
  <c r="I8" i="2" s="1"/>
  <c r="I37" i="2"/>
  <c r="I36" i="2"/>
  <c r="I44" i="2"/>
  <c r="I18" i="2"/>
  <c r="I42" i="2"/>
  <c r="I31" i="2"/>
  <c r="I16" i="2"/>
  <c r="I30" i="2"/>
  <c r="I19" i="2"/>
  <c r="I25" i="2"/>
  <c r="D46" i="2"/>
  <c r="D39" i="2"/>
  <c r="D33" i="2"/>
  <c r="D27" i="2"/>
  <c r="I39" i="2" l="1"/>
  <c r="H6" i="2" s="1"/>
  <c r="I6" i="2" s="1"/>
  <c r="I46" i="2"/>
  <c r="H7" i="2" s="1"/>
  <c r="I7" i="2" s="1"/>
  <c r="I33" i="2"/>
  <c r="H5" i="2" s="1"/>
  <c r="I5" i="2" s="1"/>
  <c r="I27" i="2"/>
  <c r="H4" i="2" s="1"/>
  <c r="I4" i="2" s="1"/>
  <c r="F27" i="2"/>
  <c r="E4" i="2" s="1"/>
  <c r="E12" i="2" s="1"/>
  <c r="I12" i="2" l="1"/>
  <c r="H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Cornelia MATES</author>
  </authors>
  <commentList>
    <comment ref="P6" authorId="0" shapeId="0" xr:uid="{B5F0A085-0FCB-489F-A331-B3CD73F4F100}">
      <text>
        <r>
          <rPr>
            <b/>
            <sz val="9"/>
            <color indexed="81"/>
            <rFont val="Tahoma"/>
            <family val="2"/>
          </rPr>
          <t xml:space="preserve">Cornelia MATES:
</t>
        </r>
        <r>
          <rPr>
            <sz val="9"/>
            <color indexed="81"/>
            <rFont val="Tahoma"/>
            <family val="2"/>
          </rPr>
          <t xml:space="preserve">80 euro x 5 + 2% taxa locala / 2
</t>
        </r>
      </text>
    </comment>
    <comment ref="O8" authorId="0" shapeId="0" xr:uid="{575F849E-A76E-4A11-A73A-31CCB477670D}">
      <text>
        <r>
          <rPr>
            <b/>
            <sz val="9"/>
            <color indexed="81"/>
            <rFont val="Tahoma"/>
            <family val="2"/>
          </rPr>
          <t>Cornelia MATES:</t>
        </r>
        <r>
          <rPr>
            <sz val="9"/>
            <color indexed="81"/>
            <rFont val="Tahoma"/>
            <family val="2"/>
          </rPr>
          <t xml:space="preserve">
diurna externa
35 euro x 4 zile
</t>
        </r>
      </text>
    </comment>
    <comment ref="Q8" authorId="0" shapeId="0" xr:uid="{B125F8A3-A781-47B0-BB5F-5F31A11CA605}">
      <text>
        <r>
          <rPr>
            <b/>
            <sz val="9"/>
            <color indexed="81"/>
            <rFont val="Tahoma"/>
            <family val="2"/>
          </rPr>
          <t>Cornelia MATES:</t>
        </r>
        <r>
          <rPr>
            <sz val="9"/>
            <color indexed="81"/>
            <rFont val="Tahoma"/>
            <family val="2"/>
          </rPr>
          <t xml:space="preserve">
vigneta Ungaria - 94 lei
vigneta Austria - 83 lei</t>
        </r>
      </text>
    </comment>
  </commentList>
</comments>
</file>

<file path=xl/sharedStrings.xml><?xml version="1.0" encoding="utf-8"?>
<sst xmlns="http://schemas.openxmlformats.org/spreadsheetml/2006/main" count="1334" uniqueCount="356">
  <si>
    <t>Nume &amp; Prenume</t>
  </si>
  <si>
    <t>Departament</t>
  </si>
  <si>
    <t>Denumire Curs / Conferinta</t>
  </si>
  <si>
    <t>Cod curs</t>
  </si>
  <si>
    <t>Durata curs</t>
  </si>
  <si>
    <t>Data inceput curs</t>
  </si>
  <si>
    <t>Data final curs</t>
  </si>
  <si>
    <t>Nr zile curs</t>
  </si>
  <si>
    <t>Locatia</t>
  </si>
  <si>
    <t>Deplasare</t>
  </si>
  <si>
    <t>Nec. Nr.</t>
  </si>
  <si>
    <t>OD</t>
  </si>
  <si>
    <t>Act adit.</t>
  </si>
  <si>
    <t>Taxa training</t>
  </si>
  <si>
    <t>Diurna</t>
  </si>
  <si>
    <t>Cazare</t>
  </si>
  <si>
    <t>Transport</t>
  </si>
  <si>
    <t>Taxi</t>
  </si>
  <si>
    <t>COST TOTAL</t>
  </si>
  <si>
    <t>Nr zile</t>
  </si>
  <si>
    <t>Conducere</t>
  </si>
  <si>
    <t>Vanzari Audi</t>
  </si>
  <si>
    <t>Vanzari VW</t>
  </si>
  <si>
    <t>Marketing</t>
  </si>
  <si>
    <t>Autoworld International</t>
  </si>
  <si>
    <t>Service VW</t>
  </si>
  <si>
    <t>Piese de schimb si accesorii VW</t>
  </si>
  <si>
    <t>Autoworld Premium</t>
  </si>
  <si>
    <t>Piese de schimb si accesorii Audi</t>
  </si>
  <si>
    <t>Autoworld Prestige</t>
  </si>
  <si>
    <t>Vanzari Volvo</t>
  </si>
  <si>
    <t>Service Volvo</t>
  </si>
  <si>
    <t>Piese de schimb si accesorii Volvo</t>
  </si>
  <si>
    <t>Autoworld Plus</t>
  </si>
  <si>
    <t>Vanzari MG</t>
  </si>
  <si>
    <t>Service MG</t>
  </si>
  <si>
    <t>Piese de schimb si accesorii MG</t>
  </si>
  <si>
    <t>Vanzari Mazda</t>
  </si>
  <si>
    <t>Service Mazda</t>
  </si>
  <si>
    <t>Piese de schimb si accesorii Mazda</t>
  </si>
  <si>
    <t>Autoworld Next</t>
  </si>
  <si>
    <t>Vanzari DWA</t>
  </si>
  <si>
    <t>Vanzari CarCloud</t>
  </si>
  <si>
    <t>Motion</t>
  </si>
  <si>
    <t>Autoworld One</t>
  </si>
  <si>
    <t>Vanzari Toyota</t>
  </si>
  <si>
    <t>Service Toyota</t>
  </si>
  <si>
    <t>Piese de schimb si accesorii Toyota</t>
  </si>
  <si>
    <t>Autoworld Insurance</t>
  </si>
  <si>
    <t>Daune</t>
  </si>
  <si>
    <t>Asigurari</t>
  </si>
  <si>
    <t>Total</t>
  </si>
  <si>
    <t>Mezei Laszlo Lehel</t>
  </si>
  <si>
    <t>Conferinta Mazda</t>
  </si>
  <si>
    <t>Bucuresti</t>
  </si>
  <si>
    <t>Avion</t>
  </si>
  <si>
    <t>Szabo Alexandru</t>
  </si>
  <si>
    <t>Enache Sebastian</t>
  </si>
  <si>
    <t>Ungurean Ileana</t>
  </si>
  <si>
    <t>Intalniri business</t>
  </si>
  <si>
    <t>15-16.01.2025</t>
  </si>
  <si>
    <t>Toma Cezar</t>
  </si>
  <si>
    <t>PDA 1M1 P.1 Coordonator Siguranta Produselor</t>
  </si>
  <si>
    <t>PDA 1M1 P.1</t>
  </si>
  <si>
    <t>21-23.01.2025</t>
  </si>
  <si>
    <t>Masina</t>
  </si>
  <si>
    <t>Crisan Alin</t>
  </si>
  <si>
    <t>Data plecare</t>
  </si>
  <si>
    <t>Data intoarcere</t>
  </si>
  <si>
    <t>Cirlea Dan</t>
  </si>
  <si>
    <t>Examen tehnician service Skoda</t>
  </si>
  <si>
    <t xml:space="preserve">Autoworld </t>
  </si>
  <si>
    <t>Dan Vasile</t>
  </si>
  <si>
    <t>Curs Mazda</t>
  </si>
  <si>
    <t>29-31.01.2025</t>
  </si>
  <si>
    <t>Klagenfurt Austria</t>
  </si>
  <si>
    <t>Mezei Ioan</t>
  </si>
  <si>
    <t>Conferinta MG</t>
  </si>
  <si>
    <t>Danci Gabriel</t>
  </si>
  <si>
    <t>MG Product Introduction &amp; MG AS33 ICE</t>
  </si>
  <si>
    <t>Foszto Tamas Tibor</t>
  </si>
  <si>
    <t>API Skoda 2024-2 Informatii actuale despre produs</t>
  </si>
  <si>
    <t>Moise George</t>
  </si>
  <si>
    <t>PTA 8HT P.1 Tehnician Inalta Tensiune</t>
  </si>
  <si>
    <t>PTA 8HT P.1</t>
  </si>
  <si>
    <t>18-19.02.2025</t>
  </si>
  <si>
    <t>Pop Marius</t>
  </si>
  <si>
    <t>Brand Experience 2025 (Noul Transporter)</t>
  </si>
  <si>
    <t>21-22.02.2025</t>
  </si>
  <si>
    <t>Jarda Andrei</t>
  </si>
  <si>
    <t>Service Audi</t>
  </si>
  <si>
    <t>ATE 0Q6 + ATE 0A5 P.1 Audi Q6 e-tron si A5 pentru tehnicieni</t>
  </si>
  <si>
    <t>ATE 0Q6 + ATE 0A5 P.1</t>
  </si>
  <si>
    <t>18-21.02.2025</t>
  </si>
  <si>
    <t>Dan Alexandru</t>
  </si>
  <si>
    <t>ATE 1Q6 + ATE 1A5 P.1 Audi Q6 e-tron si A5 pentru consilieri</t>
  </si>
  <si>
    <t>ATE 1Q6 + ATE 1A5 P.1</t>
  </si>
  <si>
    <t>27-28.02.2025</t>
  </si>
  <si>
    <t>04-07.03.2025</t>
  </si>
  <si>
    <t>Dolean Florian</t>
  </si>
  <si>
    <t>TE 0Q6 + ATE 0A5 P.1 Audi Q6 e-tron si A5 pentru tehnicieni</t>
  </si>
  <si>
    <t>TE 0Q6 + ATE 0A5 P.1</t>
  </si>
  <si>
    <t>Atena</t>
  </si>
  <si>
    <t>Oproae Grigore</t>
  </si>
  <si>
    <t>ATE 0Q6 + ATE 0A5 P.1 Audi Q6 e-tron si A5</t>
  </si>
  <si>
    <t>18-21.03.2025</t>
  </si>
  <si>
    <t>Curs tehnic Level 1 - MG Product Introduction &amp; MG AS33 ICE</t>
  </si>
  <si>
    <t>13-14.03.2025</t>
  </si>
  <si>
    <t>CTE 251 P.1 Skoda Elroq si noutăți tehnice pentru tehnicieni</t>
  </si>
  <si>
    <t>CTE 251 P.1</t>
  </si>
  <si>
    <t>29-30.04.2025</t>
  </si>
  <si>
    <t>Ciobanca Ovidiu</t>
  </si>
  <si>
    <t>Volkswagen Brand Experience</t>
  </si>
  <si>
    <t>17-18.03.2025</t>
  </si>
  <si>
    <t>Dusseldorf</t>
  </si>
  <si>
    <t>Capota Teodora</t>
  </si>
  <si>
    <t>Ioan Parocescu</t>
  </si>
  <si>
    <t>PNA 2M2 P.1 Modul 2 Consilier Service</t>
  </si>
  <si>
    <t>PNA 2M2 P.1</t>
  </si>
  <si>
    <t>25-28.03.2025</t>
  </si>
  <si>
    <t>Kis Balasz</t>
  </si>
  <si>
    <t>ABE 1Q6 + A5 P.1 Caroserie Audi Q6 e-tron si A5</t>
  </si>
  <si>
    <t>ABE 1Q6 + A5 P.1</t>
  </si>
  <si>
    <t>27-28.03.2025</t>
  </si>
  <si>
    <t>Bercea Ancuta</t>
  </si>
  <si>
    <t>PDA 1M1 P.1 - Coordonator siguranta produselor</t>
  </si>
  <si>
    <t xml:space="preserve">PDA 1M1 P.1 </t>
  </si>
  <si>
    <t>23-25.04.2025</t>
  </si>
  <si>
    <t>NTE 251-1 P.1 VW Transporter 2025 pentru tehnicieni</t>
  </si>
  <si>
    <t xml:space="preserve">NTE 251-1 P.1 VW </t>
  </si>
  <si>
    <t>06-08.05.2025</t>
  </si>
  <si>
    <t>NTE 251-2 P.1 VW Transporter 2025 pentru consilieri</t>
  </si>
  <si>
    <t>NTE 251-2 P.1 VW</t>
  </si>
  <si>
    <t>29-30.05.2025</t>
  </si>
  <si>
    <t>Talos Camelia</t>
  </si>
  <si>
    <t>Szabo Ioana</t>
  </si>
  <si>
    <t>Intalniri asiguratori</t>
  </si>
  <si>
    <t>Bucur Ovidiu</t>
  </si>
  <si>
    <t>Niculae Monica</t>
  </si>
  <si>
    <t>Intalnire Toyota</t>
  </si>
  <si>
    <t>Sfechis Sorin</t>
  </si>
  <si>
    <t>Program training LCV Toyota Professional</t>
  </si>
  <si>
    <t>01-02.04.2025</t>
  </si>
  <si>
    <t>Poiana Brasov</t>
  </si>
  <si>
    <t>Harfas Roberto</t>
  </si>
  <si>
    <t>Cuc Vlad</t>
  </si>
  <si>
    <t>Graur Constantin</t>
  </si>
  <si>
    <t>Curs MG</t>
  </si>
  <si>
    <t>19-20.03.2025</t>
  </si>
  <si>
    <t>Sabou Alexandru</t>
  </si>
  <si>
    <t>Seminar Pregatirea suprafetelor Standox</t>
  </si>
  <si>
    <t>13-15.05.2025</t>
  </si>
  <si>
    <t>Bodogan Sandor</t>
  </si>
  <si>
    <t>Aszalos Cristian</t>
  </si>
  <si>
    <t>Dragos popa</t>
  </si>
  <si>
    <t>IBT Modul 1 Certificare</t>
  </si>
  <si>
    <t>12-15.05.2025</t>
  </si>
  <si>
    <t>Brasov</t>
  </si>
  <si>
    <t xml:space="preserve">Popa Alexandru </t>
  </si>
  <si>
    <t>09-11.04.2025</t>
  </si>
  <si>
    <t>Berekmeri Arpad</t>
  </si>
  <si>
    <t>Safta Stelian</t>
  </si>
  <si>
    <t xml:space="preserve">Eveniment AD AUTO TOTAL </t>
  </si>
  <si>
    <t>17-18.05.2025</t>
  </si>
  <si>
    <t>PFG GRAND PRIX F1 SPANIA</t>
  </si>
  <si>
    <t>30.05.2025-01.06.2025</t>
  </si>
  <si>
    <t>Barcelona</t>
  </si>
  <si>
    <t>Igli Denis</t>
  </si>
  <si>
    <t>Marginean Raul</t>
  </si>
  <si>
    <t>Balatici Valentin</t>
  </si>
  <si>
    <t>Rusu Iulia</t>
  </si>
  <si>
    <t>Curs "Academia de vanzari" Toyota</t>
  </si>
  <si>
    <t>19-21.05.2025</t>
  </si>
  <si>
    <t>Sinaia</t>
  </si>
  <si>
    <t>Sales Meeting PKW</t>
  </si>
  <si>
    <t>Tadici Constantin</t>
  </si>
  <si>
    <t>Tur fabrica Continental Timisoara</t>
  </si>
  <si>
    <t>05-06.06.2025</t>
  </si>
  <si>
    <t>Timisoara</t>
  </si>
  <si>
    <t>PNA 2M4 P.1 Modul 4 Consilier Service</t>
  </si>
  <si>
    <t>PNA 2M4 P.1</t>
  </si>
  <si>
    <t>17-20.06.2025</t>
  </si>
  <si>
    <t>Program scolarizari Standox 2025</t>
  </si>
  <si>
    <t>24-26.06.2025</t>
  </si>
  <si>
    <t>PNA 2EX P.1. - Examen certificare consilier service</t>
  </si>
  <si>
    <t>PNA 2EX P.1.</t>
  </si>
  <si>
    <t>PNA 2EX P.1</t>
  </si>
  <si>
    <t>Morutan Madalina</t>
  </si>
  <si>
    <t>Balanean Raluca</t>
  </si>
  <si>
    <t>Stoica Cosmin</t>
  </si>
  <si>
    <t>Erghelegiu Ioana</t>
  </si>
  <si>
    <t>Volvo Training Sales &amp; Marketing 2025</t>
  </si>
  <si>
    <t>Crisan Paul</t>
  </si>
  <si>
    <t>Curs comanda piese e-parts 2</t>
  </si>
  <si>
    <t>17-19.06.2025</t>
  </si>
  <si>
    <t>Program Training EV Sesiunea 5 iunie / Task proiect bZ4X luna iunie</t>
  </si>
  <si>
    <t>STT - ”Level 2 - Principiile Diagnosticarii si Aplicarea lor CEE-RO” si ”Mentenanta si Service CEE-RO”</t>
  </si>
  <si>
    <t>Conferinta</t>
  </si>
  <si>
    <t>Cretiu Monica</t>
  </si>
  <si>
    <t>Curs PFG</t>
  </si>
  <si>
    <t>Chindris Ramona</t>
  </si>
  <si>
    <t>Patrasc Roger</t>
  </si>
  <si>
    <t>Training manageri</t>
  </si>
  <si>
    <t>Ovidiu Ciobanca</t>
  </si>
  <si>
    <t>Raluca Asztalos</t>
  </si>
  <si>
    <t>Ovidiu Bucur</t>
  </si>
  <si>
    <t>Madalina Morutan</t>
  </si>
  <si>
    <t>Roxana Biris</t>
  </si>
  <si>
    <t>Tudor Adrian</t>
  </si>
  <si>
    <t>Training administratori</t>
  </si>
  <si>
    <t>Istvan Papp</t>
  </si>
  <si>
    <t>Mihaela Rosca</t>
  </si>
  <si>
    <t>Program coaching si workshop martie 2025</t>
  </si>
  <si>
    <t>Cluj-Napoca</t>
  </si>
  <si>
    <t>Training manager</t>
  </si>
  <si>
    <t>Scolarizare vanzatori (Nechita M, Ungurean I, Ungur F, Popa D, Zemba P, Aszalos C, Darvas Z, Dragos G, Burca F)</t>
  </si>
  <si>
    <t>ASV Training</t>
  </si>
  <si>
    <t>Adrian Popescu</t>
  </si>
  <si>
    <t>Curs inspector SSM</t>
  </si>
  <si>
    <t>Persa Paul</t>
  </si>
  <si>
    <t>PTA MEX P.1 Examen certificare Tehnician Service</t>
  </si>
  <si>
    <t>PTA MEX P.1</t>
  </si>
  <si>
    <t>Curs VW BEX</t>
  </si>
  <si>
    <t>Parocescu Ioan</t>
  </si>
  <si>
    <t>Popa Dragos</t>
  </si>
  <si>
    <t>Cristian Aszalos</t>
  </si>
  <si>
    <t>Basic Training Sales</t>
  </si>
  <si>
    <t>Mihai Damian</t>
  </si>
  <si>
    <t xml:space="preserve">Atestare cond loc de munca studii sup </t>
  </si>
  <si>
    <t>Biris Roxana</t>
  </si>
  <si>
    <t>Training manageri ASV</t>
  </si>
  <si>
    <t>Curs instruire</t>
  </si>
  <si>
    <t>Curs SSM</t>
  </si>
  <si>
    <t>Curs vanzari MG</t>
  </si>
  <si>
    <t>04-05.06.2025</t>
  </si>
  <si>
    <t xml:space="preserve">Instruire </t>
  </si>
  <si>
    <t>Duca Calin</t>
  </si>
  <si>
    <t>Certificat atestare RAR</t>
  </si>
  <si>
    <t>Curs High Voltage</t>
  </si>
  <si>
    <t>Popa Augustin</t>
  </si>
  <si>
    <t>Atestat RAR</t>
  </si>
  <si>
    <t>Training Manageri</t>
  </si>
  <si>
    <t>Ploscar Mihai</t>
  </si>
  <si>
    <t>Training Manageri ASV</t>
  </si>
  <si>
    <t>Szabo Attila</t>
  </si>
  <si>
    <t>Instruire</t>
  </si>
  <si>
    <t>Total cost cursuri/conferinte</t>
  </si>
  <si>
    <t>Cost diurna</t>
  </si>
  <si>
    <t>Cost cazare</t>
  </si>
  <si>
    <t>Cost training</t>
  </si>
  <si>
    <t>Cost transport</t>
  </si>
  <si>
    <t>Costuri Grup Autoworld 2025</t>
  </si>
  <si>
    <t>Societate</t>
  </si>
  <si>
    <t>Total cost RON</t>
  </si>
  <si>
    <t>Total cost EUR</t>
  </si>
  <si>
    <t>16-17.06.2025</t>
  </si>
  <si>
    <t>Vizita clienti si prospectare piata</t>
  </si>
  <si>
    <t>18-21.08.2025</t>
  </si>
  <si>
    <t>Vizite importatori</t>
  </si>
  <si>
    <t>Curs PLR</t>
  </si>
  <si>
    <t>18-21.09.2025</t>
  </si>
  <si>
    <t>Sabo Sebastian</t>
  </si>
  <si>
    <t>Gavril Amanda</t>
  </si>
  <si>
    <t>16-17.10.2025</t>
  </si>
  <si>
    <t>IBT ( Basic Training Sales) - Modul 3</t>
  </si>
  <si>
    <t>11-14.08.2025</t>
  </si>
  <si>
    <t>Intalnire importator PORO</t>
  </si>
  <si>
    <t>NTE 252-2 P.1 VW Transporter 2025 BEV &amp; Caravelle pentru consilieri</t>
  </si>
  <si>
    <t>NTE 252-2 P.1</t>
  </si>
  <si>
    <t>04-05.09.2025</t>
  </si>
  <si>
    <t>Felecan Bogdan</t>
  </si>
  <si>
    <t>API Skoda 2025-1 Informatii actuale despre produs</t>
  </si>
  <si>
    <t>NTE 252-1 P.1 VW Transporter 2025 BEV &amp; Caravelle pentru tehnicieni</t>
  </si>
  <si>
    <t>NTE 252-1 P.1</t>
  </si>
  <si>
    <t>24-26.09.2025</t>
  </si>
  <si>
    <t>Certificare IBT (Basic Training Sales) - Modul 4</t>
  </si>
  <si>
    <t>13-15.10.2025</t>
  </si>
  <si>
    <t>Zemba Peter</t>
  </si>
  <si>
    <t>Sales Meeting LNF</t>
  </si>
  <si>
    <t>21-22.10.2025</t>
  </si>
  <si>
    <t>Examen certificare tehnician service</t>
  </si>
  <si>
    <t>Popescu Flavius</t>
  </si>
  <si>
    <t>Intalniri PORO</t>
  </si>
  <si>
    <t>Oancea Mihai</t>
  </si>
  <si>
    <t>Bejan Medela</t>
  </si>
  <si>
    <t>CLX 2025 Audi A6 Avant training digital</t>
  </si>
  <si>
    <t>10-12.08.2025</t>
  </si>
  <si>
    <t>Munchen</t>
  </si>
  <si>
    <t>Vilcan Alexandru</t>
  </si>
  <si>
    <t>Petrutiu Paula</t>
  </si>
  <si>
    <t>12-14.08.2025</t>
  </si>
  <si>
    <t>Audi Retail Experience for Leaders</t>
  </si>
  <si>
    <t>Intalnire Volvo</t>
  </si>
  <si>
    <t>31.07.2025-01.08.2025</t>
  </si>
  <si>
    <t>Intalniri importator</t>
  </si>
  <si>
    <t>Sarpatki Emoke</t>
  </si>
  <si>
    <t>Volvo Basic Program G1</t>
  </si>
  <si>
    <t>07-10.10.2025</t>
  </si>
  <si>
    <t>Tolan Tudor</t>
  </si>
  <si>
    <t>Fodor Sorin</t>
  </si>
  <si>
    <t>Curs vanzari Modul 3/Contactarea si achizitia de clienti noi</t>
  </si>
  <si>
    <t>24-25.09.2025</t>
  </si>
  <si>
    <t>Istrate Adrian</t>
  </si>
  <si>
    <t>Training produs Mazda</t>
  </si>
  <si>
    <t>02-03.10.2025</t>
  </si>
  <si>
    <t>Conferinta DasWeltAuto</t>
  </si>
  <si>
    <t>07-08.10.2025</t>
  </si>
  <si>
    <t>Vasiliu Alexandru</t>
  </si>
  <si>
    <t>Training Audi Leadership in Action</t>
  </si>
  <si>
    <t>03-07.11.2025</t>
  </si>
  <si>
    <t>03.11.2025</t>
  </si>
  <si>
    <t>07.11.2025</t>
  </si>
  <si>
    <t>NBE 251 P.1 Caroserie VW Transporter 202</t>
  </si>
  <si>
    <t>03-05.11.2025</t>
  </si>
  <si>
    <t>04.11.2025</t>
  </si>
  <si>
    <t>05.11.2025</t>
  </si>
  <si>
    <t>Proces de Vanzare Sales si AFS, Certificare TME – Modulul 2</t>
  </si>
  <si>
    <t>10-12.11.2025</t>
  </si>
  <si>
    <t>masina</t>
  </si>
  <si>
    <t>12.11.2025</t>
  </si>
  <si>
    <t>10.11.2025</t>
  </si>
  <si>
    <t>Monica Niculae</t>
  </si>
  <si>
    <t>Intalniri leasing operational</t>
  </si>
  <si>
    <t>18.11.2025</t>
  </si>
  <si>
    <t>avion</t>
  </si>
  <si>
    <t>Oprea Ovidiu</t>
  </si>
  <si>
    <t>Intalnire business Toyota</t>
  </si>
  <si>
    <t>27-28.11.2025</t>
  </si>
  <si>
    <t>27.11.2025</t>
  </si>
  <si>
    <t>27-31.01.2025</t>
  </si>
  <si>
    <t>Conferinta After Sales 2025</t>
  </si>
  <si>
    <t>13-14.11.2025</t>
  </si>
  <si>
    <t>04-05.12.2025</t>
  </si>
  <si>
    <t>Conferinta dealeri VW</t>
  </si>
  <si>
    <t>08-09.12.2025</t>
  </si>
  <si>
    <t>15-16.12.2025</t>
  </si>
  <si>
    <t>Kis Balazs</t>
  </si>
  <si>
    <t>PTB 0EC - Modul de baza electronica</t>
  </si>
  <si>
    <t>PTB 0EC</t>
  </si>
  <si>
    <t>Noul T-roc &amp; Driving Experience</t>
  </si>
  <si>
    <t>10-11.11.2025</t>
  </si>
  <si>
    <t>Ungur Florin</t>
  </si>
  <si>
    <t>Nechita Monica</t>
  </si>
  <si>
    <t>Darvas Zoltan</t>
  </si>
  <si>
    <t>Predeal</t>
  </si>
  <si>
    <t>Final Phase EVT Training</t>
  </si>
  <si>
    <t>23-25.10.2025</t>
  </si>
  <si>
    <t>Ples Mihai</t>
  </si>
  <si>
    <t>Final Phase AEVT Training</t>
  </si>
  <si>
    <t>30.10.2025-01.11.2025</t>
  </si>
  <si>
    <t>Kallo Stefan</t>
  </si>
  <si>
    <t>Training produs Mazda CX5</t>
  </si>
  <si>
    <t>Padurean Naomi</t>
  </si>
  <si>
    <t>Doja Paul</t>
  </si>
  <si>
    <t>Curs tehnic Mazda 6E</t>
  </si>
  <si>
    <t>09-11.12.2025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</si>
</sst>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RON]"/>
    <numFmt numFmtId="165" formatCode="#,##0\ &quot;€&quot;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2" borderId="1" xfId="0" applyFill="1" applyBorder="1"/>
    <xf numFmtId="0" fontId="1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0" fillId="4" borderId="1" xfId="0" applyFill="1" applyBorder="1"/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0" fillId="7" borderId="1" xfId="0" applyFill="1" applyBorder="1"/>
    <xf numFmtId="0" fontId="2" fillId="6" borderId="1" xfId="0" applyFont="1" applyFill="1" applyBorder="1" applyAlignment="1">
      <alignment horizontal="center" wrapText="1"/>
    </xf>
    <xf numFmtId="0" fontId="0" fillId="6" borderId="1" xfId="0" applyFill="1" applyBorder="1"/>
    <xf numFmtId="0" fontId="1" fillId="8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0" fillId="9" borderId="1" xfId="0" applyFill="1" applyBorder="1"/>
    <xf numFmtId="0" fontId="0" fillId="8" borderId="1" xfId="0" applyFill="1" applyBorder="1"/>
    <xf numFmtId="0" fontId="1" fillId="10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  <xf numFmtId="0" fontId="0" fillId="11" borderId="1" xfId="0" applyFill="1" applyBorder="1"/>
    <xf numFmtId="0" fontId="0" fillId="10" borderId="1" xfId="0" applyFill="1" applyBorder="1"/>
    <xf numFmtId="0" fontId="1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wrapText="1"/>
    </xf>
    <xf numFmtId="0" fontId="0" fillId="12" borderId="1" xfId="0" applyFill="1" applyBorder="1"/>
    <xf numFmtId="0" fontId="1" fillId="13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wrapText="1"/>
    </xf>
    <xf numFmtId="0" fontId="1" fillId="14" borderId="1" xfId="0" applyFont="1" applyFill="1" applyBorder="1" applyAlignment="1">
      <alignment horizontal="center" wrapText="1"/>
    </xf>
    <xf numFmtId="0" fontId="0" fillId="14" borderId="1" xfId="0" applyFill="1" applyBorder="1"/>
    <xf numFmtId="0" fontId="0" fillId="13" borderId="1" xfId="0" applyFill="1" applyBorder="1"/>
    <xf numFmtId="0" fontId="0" fillId="15" borderId="1" xfId="0" applyFill="1" applyBorder="1"/>
    <xf numFmtId="0" fontId="1" fillId="15" borderId="1" xfId="0" applyFont="1" applyFill="1" applyBorder="1" applyAlignment="1">
      <alignment horizontal="center" wrapText="1"/>
    </xf>
    <xf numFmtId="0" fontId="0" fillId="16" borderId="1" xfId="0" applyFill="1" applyBorder="1"/>
    <xf numFmtId="0" fontId="1" fillId="17" borderId="1" xfId="0" applyFont="1" applyFill="1" applyBorder="1" applyAlignment="1">
      <alignment horizontal="center" wrapText="1"/>
    </xf>
    <xf numFmtId="0" fontId="2" fillId="17" borderId="1" xfId="0" applyFont="1" applyFill="1" applyBorder="1" applyAlignment="1">
      <alignment horizontal="center" wrapText="1"/>
    </xf>
    <xf numFmtId="0" fontId="1" fillId="16" borderId="1" xfId="0" applyFont="1" applyFill="1" applyBorder="1" applyAlignment="1">
      <alignment horizontal="center" wrapText="1"/>
    </xf>
    <xf numFmtId="0" fontId="1" fillId="2" borderId="4" xfId="0" applyFont="1" applyFill="1" applyBorder="1"/>
    <xf numFmtId="0" fontId="0" fillId="2" borderId="5" xfId="0" applyFill="1" applyBorder="1"/>
    <xf numFmtId="0" fontId="1" fillId="4" borderId="4" xfId="0" applyFont="1" applyFill="1" applyBorder="1"/>
    <xf numFmtId="0" fontId="0" fillId="4" borderId="5" xfId="0" applyFill="1" applyBorder="1"/>
    <xf numFmtId="0" fontId="1" fillId="6" borderId="4" xfId="0" applyFont="1" applyFill="1" applyBorder="1"/>
    <xf numFmtId="0" fontId="0" fillId="6" borderId="5" xfId="0" applyFill="1" applyBorder="1"/>
    <xf numFmtId="0" fontId="1" fillId="8" borderId="4" xfId="0" applyFont="1" applyFill="1" applyBorder="1"/>
    <xf numFmtId="0" fontId="0" fillId="8" borderId="5" xfId="0" applyFill="1" applyBorder="1"/>
    <xf numFmtId="0" fontId="1" fillId="10" borderId="4" xfId="0" applyFont="1" applyFill="1" applyBorder="1"/>
    <xf numFmtId="0" fontId="0" fillId="10" borderId="5" xfId="0" applyFill="1" applyBorder="1"/>
    <xf numFmtId="0" fontId="1" fillId="13" borderId="4" xfId="0" applyFont="1" applyFill="1" applyBorder="1"/>
    <xf numFmtId="0" fontId="0" fillId="13" borderId="5" xfId="0" applyFill="1" applyBorder="1"/>
    <xf numFmtId="0" fontId="1" fillId="12" borderId="4" xfId="0" applyFont="1" applyFill="1" applyBorder="1"/>
    <xf numFmtId="0" fontId="0" fillId="12" borderId="5" xfId="0" applyFill="1" applyBorder="1"/>
    <xf numFmtId="0" fontId="1" fillId="17" borderId="4" xfId="0" applyFont="1" applyFill="1" applyBorder="1"/>
    <xf numFmtId="0" fontId="0" fillId="17" borderId="5" xfId="0" applyFill="1" applyBorder="1"/>
    <xf numFmtId="0" fontId="1" fillId="0" borderId="0" xfId="0" applyFont="1" applyAlignment="1">
      <alignment vertic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2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1" fillId="0" borderId="0" xfId="0" applyFont="1"/>
    <xf numFmtId="0" fontId="1" fillId="11" borderId="1" xfId="0" applyFont="1" applyFill="1" applyBorder="1"/>
    <xf numFmtId="0" fontId="1" fillId="11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7" borderId="1" xfId="0" applyFont="1" applyFill="1" applyBorder="1"/>
    <xf numFmtId="0" fontId="1" fillId="7" borderId="1" xfId="0" applyFont="1" applyFill="1" applyBorder="1" applyAlignment="1">
      <alignment wrapText="1"/>
    </xf>
    <xf numFmtId="0" fontId="1" fillId="9" borderId="1" xfId="0" applyFont="1" applyFill="1" applyBorder="1"/>
    <xf numFmtId="0" fontId="1" fillId="9" borderId="1" xfId="0" applyFont="1" applyFill="1" applyBorder="1" applyAlignment="1">
      <alignment wrapText="1"/>
    </xf>
    <xf numFmtId="0" fontId="1" fillId="14" borderId="1" xfId="0" applyFont="1" applyFill="1" applyBorder="1"/>
    <xf numFmtId="0" fontId="1" fillId="14" borderId="1" xfId="0" applyFont="1" applyFill="1" applyBorder="1" applyAlignment="1">
      <alignment wrapText="1"/>
    </xf>
    <xf numFmtId="0" fontId="1" fillId="15" borderId="1" xfId="0" applyFont="1" applyFill="1" applyBorder="1"/>
    <xf numFmtId="0" fontId="1" fillId="15" borderId="1" xfId="0" applyFont="1" applyFill="1" applyBorder="1" applyAlignment="1">
      <alignment wrapText="1"/>
    </xf>
    <xf numFmtId="0" fontId="1" fillId="16" borderId="1" xfId="0" applyFont="1" applyFill="1" applyBorder="1"/>
    <xf numFmtId="0" fontId="1" fillId="16" borderId="1" xfId="0" applyFont="1" applyFill="1" applyBorder="1" applyAlignment="1">
      <alignment wrapText="1"/>
    </xf>
    <xf numFmtId="0" fontId="1" fillId="18" borderId="8" xfId="0" applyFont="1" applyFill="1" applyBorder="1" applyAlignment="1">
      <alignment horizontal="center"/>
    </xf>
    <xf numFmtId="0" fontId="1" fillId="18" borderId="1" xfId="0" applyFont="1" applyFill="1" applyBorder="1"/>
    <xf numFmtId="0" fontId="1" fillId="0" borderId="1" xfId="0" applyFont="1" applyBorder="1"/>
    <xf numFmtId="0" fontId="1" fillId="19" borderId="1" xfId="0" applyFont="1" applyFill="1" applyBorder="1"/>
    <xf numFmtId="164" fontId="0" fillId="0" borderId="8" xfId="0" applyNumberFormat="1" applyBorder="1"/>
    <xf numFmtId="164" fontId="0" fillId="19" borderId="8" xfId="0" applyNumberFormat="1" applyFill="1" applyBorder="1"/>
    <xf numFmtId="164" fontId="1" fillId="0" borderId="8" xfId="0" applyNumberFormat="1" applyFont="1" applyBorder="1"/>
    <xf numFmtId="165" fontId="0" fillId="0" borderId="1" xfId="0" applyNumberFormat="1" applyBorder="1"/>
    <xf numFmtId="165" fontId="0" fillId="19" borderId="1" xfId="0" applyNumberFormat="1" applyFill="1" applyBorder="1"/>
    <xf numFmtId="165" fontId="1" fillId="0" borderId="8" xfId="0" applyNumberFormat="1" applyFont="1" applyBorder="1"/>
    <xf numFmtId="0" fontId="1" fillId="18" borderId="1" xfId="0" applyFont="1" applyFill="1" applyBorder="1" applyAlignment="1">
      <alignment horizontal="center"/>
    </xf>
    <xf numFmtId="164" fontId="0" fillId="2" borderId="1" xfId="0" applyNumberFormat="1" applyFill="1" applyBorder="1"/>
    <xf numFmtId="164" fontId="0" fillId="2" borderId="5" xfId="0" applyNumberFormat="1" applyFill="1" applyBorder="1"/>
    <xf numFmtId="164" fontId="1" fillId="2" borderId="4" xfId="0" applyNumberFormat="1" applyFont="1" applyFill="1" applyBorder="1"/>
    <xf numFmtId="164" fontId="0" fillId="4" borderId="1" xfId="0" applyNumberFormat="1" applyFill="1" applyBorder="1"/>
    <xf numFmtId="164" fontId="0" fillId="4" borderId="5" xfId="0" applyNumberFormat="1" applyFill="1" applyBorder="1"/>
    <xf numFmtId="164" fontId="1" fillId="4" borderId="4" xfId="0" applyNumberFormat="1" applyFont="1" applyFill="1" applyBorder="1"/>
    <xf numFmtId="164" fontId="0" fillId="6" borderId="1" xfId="0" applyNumberFormat="1" applyFill="1" applyBorder="1"/>
    <xf numFmtId="164" fontId="0" fillId="6" borderId="5" xfId="0" applyNumberFormat="1" applyFill="1" applyBorder="1"/>
    <xf numFmtId="164" fontId="1" fillId="6" borderId="4" xfId="0" applyNumberFormat="1" applyFont="1" applyFill="1" applyBorder="1"/>
    <xf numFmtId="164" fontId="0" fillId="8" borderId="1" xfId="0" applyNumberFormat="1" applyFill="1" applyBorder="1"/>
    <xf numFmtId="164" fontId="0" fillId="8" borderId="5" xfId="0" applyNumberFormat="1" applyFill="1" applyBorder="1"/>
    <xf numFmtId="164" fontId="1" fillId="8" borderId="4" xfId="0" applyNumberFormat="1" applyFont="1" applyFill="1" applyBorder="1"/>
    <xf numFmtId="164" fontId="0" fillId="10" borderId="1" xfId="0" applyNumberFormat="1" applyFill="1" applyBorder="1"/>
    <xf numFmtId="164" fontId="0" fillId="10" borderId="5" xfId="0" applyNumberFormat="1" applyFill="1" applyBorder="1"/>
    <xf numFmtId="164" fontId="1" fillId="10" borderId="4" xfId="0" applyNumberFormat="1" applyFont="1" applyFill="1" applyBorder="1"/>
    <xf numFmtId="164" fontId="0" fillId="13" borderId="1" xfId="0" applyNumberFormat="1" applyFill="1" applyBorder="1"/>
    <xf numFmtId="164" fontId="0" fillId="13" borderId="5" xfId="0" applyNumberFormat="1" applyFill="1" applyBorder="1"/>
    <xf numFmtId="164" fontId="1" fillId="13" borderId="4" xfId="0" applyNumberFormat="1" applyFont="1" applyFill="1" applyBorder="1"/>
    <xf numFmtId="164" fontId="0" fillId="12" borderId="1" xfId="0" applyNumberFormat="1" applyFill="1" applyBorder="1"/>
    <xf numFmtId="164" fontId="0" fillId="12" borderId="5" xfId="0" applyNumberFormat="1" applyFill="1" applyBorder="1"/>
    <xf numFmtId="164" fontId="1" fillId="12" borderId="4" xfId="0" applyNumberFormat="1" applyFont="1" applyFill="1" applyBorder="1"/>
    <xf numFmtId="164" fontId="0" fillId="17" borderId="5" xfId="0" applyNumberFormat="1" applyFill="1" applyBorder="1"/>
    <xf numFmtId="164" fontId="1" fillId="17" borderId="4" xfId="0" applyNumberFormat="1" applyFont="1" applyFill="1" applyBorder="1"/>
    <xf numFmtId="0" fontId="6" fillId="0" borderId="1" xfId="0" applyFont="1" applyBorder="1"/>
    <xf numFmtId="0" fontId="0" fillId="16" borderId="1" xfId="0" applyFill="1" applyBorder="1" applyAlignment="1">
      <alignment horizontal="center" wrapText="1"/>
    </xf>
    <xf numFmtId="0" fontId="0" fillId="16" borderId="1" xfId="0" applyFill="1" applyBorder="1" applyAlignment="1">
      <alignment horizontal="center"/>
    </xf>
    <xf numFmtId="0" fontId="0" fillId="16" borderId="1" xfId="0" applyFill="1" applyBorder="1" applyAlignment="1">
      <alignment horizontal="right"/>
    </xf>
    <xf numFmtId="14" fontId="0" fillId="16" borderId="1" xfId="0" applyNumberFormat="1" applyFill="1" applyBorder="1" applyAlignment="1">
      <alignment horizontal="right"/>
    </xf>
    <xf numFmtId="0" fontId="0" fillId="16" borderId="1" xfId="0" applyFill="1" applyBorder="1" applyAlignment="1">
      <alignment wrapText="1"/>
    </xf>
    <xf numFmtId="0" fontId="0" fillId="20" borderId="1" xfId="0" applyFill="1" applyBorder="1" applyAlignment="1">
      <alignment horizontal="center" wrapText="1"/>
    </xf>
    <xf numFmtId="0" fontId="0" fillId="20" borderId="1" xfId="0" applyFill="1" applyBorder="1" applyAlignment="1">
      <alignment horizontal="center"/>
    </xf>
    <xf numFmtId="14" fontId="0" fillId="20" borderId="1" xfId="0" applyNumberFormat="1" applyFill="1" applyBorder="1" applyAlignment="1">
      <alignment horizontal="right"/>
    </xf>
    <xf numFmtId="0" fontId="0" fillId="20" borderId="1" xfId="0" applyFill="1" applyBorder="1"/>
    <xf numFmtId="14" fontId="0" fillId="16" borderId="1" xfId="0" applyNumberFormat="1" applyFill="1" applyBorder="1"/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9933"/>
      <color rgb="FFFFCC66"/>
      <color rgb="FFFFF3E5"/>
      <color rgb="FFFFCC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E6AD-296D-4379-BA61-5721E96B541F}">
  <dimension ref="B2:O71"/>
  <sheetViews>
    <sheetView showGridLines="0" topLeftCell="A21" zoomScaleNormal="100" workbookViewId="0">
      <selection activeCell="J49" sqref="J49"/>
    </sheetView>
  </sheetViews>
  <sheetFormatPr defaultRowHeight="14.4" x14ac:dyDescent="0.3"/>
  <cols>
    <col min="2" max="2" width="24" customWidth="1"/>
    <col min="3" max="3" width="27.6640625" bestFit="1" customWidth="1"/>
    <col min="4" max="8" width="16.5546875" customWidth="1"/>
    <col min="9" max="9" width="21.33203125" customWidth="1"/>
    <col min="12" max="12" width="12.77734375" customWidth="1"/>
    <col min="13" max="13" width="13.6640625" customWidth="1"/>
    <col min="14" max="14" width="16.5546875" customWidth="1"/>
    <col min="15" max="15" width="20.88671875" customWidth="1"/>
  </cols>
  <sheetData>
    <row r="2" spans="2:12" x14ac:dyDescent="0.3">
      <c r="B2" s="70"/>
      <c r="C2" s="132" t="s">
        <v>251</v>
      </c>
      <c r="D2" s="133"/>
      <c r="E2" s="133"/>
      <c r="F2" s="133"/>
      <c r="G2" s="133"/>
      <c r="H2" s="133"/>
      <c r="I2" s="134"/>
    </row>
    <row r="3" spans="2:12" x14ac:dyDescent="0.3">
      <c r="B3" s="70"/>
      <c r="C3" s="88" t="s">
        <v>252</v>
      </c>
      <c r="D3" s="87" t="s">
        <v>249</v>
      </c>
      <c r="E3" s="97" t="s">
        <v>247</v>
      </c>
      <c r="F3" s="97" t="s">
        <v>248</v>
      </c>
      <c r="G3" s="97" t="s">
        <v>250</v>
      </c>
      <c r="H3" s="97" t="s">
        <v>253</v>
      </c>
      <c r="I3" s="97" t="s">
        <v>254</v>
      </c>
    </row>
    <row r="4" spans="2:12" x14ac:dyDescent="0.3">
      <c r="C4" s="89" t="s">
        <v>71</v>
      </c>
      <c r="D4" s="91">
        <f>E27</f>
        <v>144512</v>
      </c>
      <c r="E4" s="91">
        <f t="shared" ref="E4:H4" si="0">F27</f>
        <v>6429.5</v>
      </c>
      <c r="F4" s="91">
        <f t="shared" si="0"/>
        <v>5546.75</v>
      </c>
      <c r="G4" s="91">
        <f t="shared" si="0"/>
        <v>10575</v>
      </c>
      <c r="H4" s="91">
        <f t="shared" si="0"/>
        <v>167063.25</v>
      </c>
      <c r="I4" s="94">
        <f>H4/5</f>
        <v>33412.65</v>
      </c>
    </row>
    <row r="5" spans="2:12" x14ac:dyDescent="0.3">
      <c r="C5" s="90" t="s">
        <v>24</v>
      </c>
      <c r="D5" s="92">
        <f>E33</f>
        <v>63590</v>
      </c>
      <c r="E5" s="92">
        <f t="shared" ref="E5:H5" si="1">F33</f>
        <v>8576.84</v>
      </c>
      <c r="F5" s="92">
        <f t="shared" si="1"/>
        <v>10867</v>
      </c>
      <c r="G5" s="92">
        <f t="shared" si="1"/>
        <v>10049</v>
      </c>
      <c r="H5" s="92">
        <f t="shared" si="1"/>
        <v>93082.84</v>
      </c>
      <c r="I5" s="95">
        <f t="shared" ref="I5:I11" si="2">H5/5</f>
        <v>18616.567999999999</v>
      </c>
    </row>
    <row r="6" spans="2:12" x14ac:dyDescent="0.3">
      <c r="C6" s="89" t="s">
        <v>27</v>
      </c>
      <c r="D6" s="91">
        <f>E39</f>
        <v>19901</v>
      </c>
      <c r="E6" s="91">
        <f t="shared" ref="E6:H6" si="3">F39</f>
        <v>5786.5</v>
      </c>
      <c r="F6" s="91">
        <f t="shared" si="3"/>
        <v>6308</v>
      </c>
      <c r="G6" s="91">
        <f t="shared" si="3"/>
        <v>3060</v>
      </c>
      <c r="H6" s="91">
        <f t="shared" si="3"/>
        <v>35055.5</v>
      </c>
      <c r="I6" s="94">
        <f t="shared" si="2"/>
        <v>7011.1</v>
      </c>
    </row>
    <row r="7" spans="2:12" x14ac:dyDescent="0.3">
      <c r="C7" s="90" t="s">
        <v>29</v>
      </c>
      <c r="D7" s="92">
        <f>E46</f>
        <v>7782</v>
      </c>
      <c r="E7" s="92">
        <f t="shared" ref="E7:H7" si="4">F46</f>
        <v>3105</v>
      </c>
      <c r="F7" s="92">
        <f t="shared" si="4"/>
        <v>8308</v>
      </c>
      <c r="G7" s="92">
        <f>H46</f>
        <v>0</v>
      </c>
      <c r="H7" s="92">
        <f t="shared" si="4"/>
        <v>19195</v>
      </c>
      <c r="I7" s="95">
        <f t="shared" si="2"/>
        <v>3839</v>
      </c>
    </row>
    <row r="8" spans="2:12" x14ac:dyDescent="0.3">
      <c r="C8" s="89" t="s">
        <v>33</v>
      </c>
      <c r="D8" s="91">
        <f>E55</f>
        <v>17481</v>
      </c>
      <c r="E8" s="91">
        <f t="shared" ref="E8:H8" si="5">F55</f>
        <v>3088.5</v>
      </c>
      <c r="F8" s="91">
        <f t="shared" si="5"/>
        <v>4897</v>
      </c>
      <c r="G8" s="91">
        <f t="shared" si="5"/>
        <v>4147</v>
      </c>
      <c r="H8" s="91">
        <f t="shared" si="5"/>
        <v>29613.5</v>
      </c>
      <c r="I8" s="94">
        <f t="shared" si="2"/>
        <v>5922.7</v>
      </c>
    </row>
    <row r="9" spans="2:12" x14ac:dyDescent="0.3">
      <c r="C9" s="90" t="s">
        <v>40</v>
      </c>
      <c r="D9" s="92">
        <f>E61</f>
        <v>6698</v>
      </c>
      <c r="E9" s="92">
        <f t="shared" ref="E9:H9" si="6">F61</f>
        <v>172.5</v>
      </c>
      <c r="F9" s="92">
        <f t="shared" si="6"/>
        <v>0</v>
      </c>
      <c r="G9" s="92">
        <f t="shared" si="6"/>
        <v>716</v>
      </c>
      <c r="H9" s="92">
        <f t="shared" si="6"/>
        <v>7586.5</v>
      </c>
      <c r="I9" s="95">
        <f t="shared" si="2"/>
        <v>1517.3</v>
      </c>
    </row>
    <row r="10" spans="2:12" x14ac:dyDescent="0.3">
      <c r="C10" s="89" t="s">
        <v>44</v>
      </c>
      <c r="D10" s="91">
        <f>E67</f>
        <v>0</v>
      </c>
      <c r="E10" s="91">
        <f t="shared" ref="E10:H10" si="7">F67</f>
        <v>1495</v>
      </c>
      <c r="F10" s="91">
        <f t="shared" si="7"/>
        <v>1850</v>
      </c>
      <c r="G10" s="91">
        <f t="shared" si="7"/>
        <v>300</v>
      </c>
      <c r="H10" s="91">
        <f t="shared" si="7"/>
        <v>3645</v>
      </c>
      <c r="I10" s="94">
        <f t="shared" si="2"/>
        <v>729</v>
      </c>
    </row>
    <row r="11" spans="2:12" x14ac:dyDescent="0.3">
      <c r="C11" s="90" t="s">
        <v>48</v>
      </c>
      <c r="D11" s="92">
        <f>E71</f>
        <v>0</v>
      </c>
      <c r="E11" s="92">
        <f t="shared" ref="E11:H11" si="8">F71</f>
        <v>115</v>
      </c>
      <c r="F11" s="92">
        <f t="shared" si="8"/>
        <v>0</v>
      </c>
      <c r="G11" s="92">
        <f t="shared" si="8"/>
        <v>0</v>
      </c>
      <c r="H11" s="92">
        <f t="shared" si="8"/>
        <v>115</v>
      </c>
      <c r="I11" s="95">
        <f t="shared" si="2"/>
        <v>23</v>
      </c>
    </row>
    <row r="12" spans="2:12" x14ac:dyDescent="0.3">
      <c r="C12" s="89" t="s">
        <v>51</v>
      </c>
      <c r="D12" s="93">
        <f>SUM(D4:D11)</f>
        <v>259964</v>
      </c>
      <c r="E12" s="93">
        <f t="shared" ref="E12:I12" si="9">SUM(E4:E11)</f>
        <v>28768.84</v>
      </c>
      <c r="F12" s="93">
        <f t="shared" si="9"/>
        <v>37776.75</v>
      </c>
      <c r="G12" s="93">
        <f t="shared" si="9"/>
        <v>28847</v>
      </c>
      <c r="H12" s="93">
        <f t="shared" si="9"/>
        <v>355356.58999999997</v>
      </c>
      <c r="I12" s="96">
        <f t="shared" si="9"/>
        <v>71071.317999999999</v>
      </c>
    </row>
    <row r="15" spans="2:12" ht="28.8" x14ac:dyDescent="0.3">
      <c r="B15" s="150" t="s">
        <v>71</v>
      </c>
      <c r="C15" s="73" t="s">
        <v>1</v>
      </c>
      <c r="D15" s="73" t="s">
        <v>19</v>
      </c>
      <c r="E15" s="73" t="s">
        <v>249</v>
      </c>
      <c r="F15" s="73" t="s">
        <v>247</v>
      </c>
      <c r="G15" s="73" t="s">
        <v>248</v>
      </c>
      <c r="H15" s="73" t="s">
        <v>250</v>
      </c>
      <c r="I15" s="74" t="s">
        <v>246</v>
      </c>
      <c r="L15" s="56"/>
    </row>
    <row r="16" spans="2:12" x14ac:dyDescent="0.3">
      <c r="B16" s="151"/>
      <c r="C16" s="6" t="s">
        <v>20</v>
      </c>
      <c r="D16" s="6">
        <f>SUMIFS('Cursuri AW'!$H:$H,'Cursuri AW'!$B:$B,Costuri!C16)</f>
        <v>50</v>
      </c>
      <c r="E16" s="98">
        <f>SUMIFS('Cursuri AW'!$N:$N,'Cursuri AW'!$B:$B,Costuri!C16)</f>
        <v>118301</v>
      </c>
      <c r="F16" s="98">
        <f>SUMIFS('Cursuri AW'!$O:$O,'Cursuri AW'!$B:$B,Costuri!C16)</f>
        <v>3974.5</v>
      </c>
      <c r="G16" s="98">
        <f>SUMIFS('Cursuri AW'!$P:$P,'Cursuri AW'!$B:$B,Costuri!C16)</f>
        <v>2310</v>
      </c>
      <c r="H16" s="98">
        <f>SUMIFS('Cursuri AW'!$Q:$Q,'Cursuri AW'!$B:$B,Costuri!C16)+SUMIFS('Cursuri AW'!$R:$R,'Cursuri AW'!$B:$B,Costuri!C16)</f>
        <v>9378</v>
      </c>
      <c r="I16" s="98">
        <f>SUMIFS('Cursuri AW'!$S:$S,'Cursuri AW'!$B:$B,Costuri!C16)</f>
        <v>133963.5</v>
      </c>
      <c r="L16" s="56"/>
    </row>
    <row r="17" spans="2:15" x14ac:dyDescent="0.3">
      <c r="B17" s="151"/>
      <c r="C17" s="6" t="s">
        <v>23</v>
      </c>
      <c r="D17" s="6">
        <f>SUMIFS('Cursuri AW'!$H:$H,'Cursuri AW'!$B:$B,Costuri!C17)</f>
        <v>5</v>
      </c>
      <c r="E17" s="98">
        <f>SUMIFS('Cursuri AW'!$N:$N,'Cursuri AW'!$B:$B,Costuri!C17)</f>
        <v>3017</v>
      </c>
      <c r="F17" s="98">
        <f>SUMIFS('Cursuri AW'!$O:$O,'Cursuri AW'!$B:$B,Costuri!C17)</f>
        <v>230</v>
      </c>
      <c r="G17" s="98">
        <f>SUMIFS('Cursuri AW'!$P:$P,'Cursuri AW'!$B:$B,Costuri!C17)</f>
        <v>0</v>
      </c>
      <c r="H17" s="98">
        <f>SUMIFS('Cursuri AW'!$Q:$Q,'Cursuri AW'!$B:$B,Costuri!C17)+SUMIFS('Cursuri AW'!$R:$R,'Cursuri AW'!$B:$B,Costuri!C17)</f>
        <v>0</v>
      </c>
      <c r="I17" s="98">
        <f>SUMIFS('Cursuri AW'!$S:$S,'Cursuri AW'!$B:$B,Costuri!C17)</f>
        <v>3247</v>
      </c>
      <c r="L17" s="56"/>
    </row>
    <row r="18" spans="2:15" x14ac:dyDescent="0.3">
      <c r="B18" s="151"/>
      <c r="C18" s="62" t="s">
        <v>22</v>
      </c>
      <c r="D18" s="6">
        <f>SUMIFS('Cursuri AW'!$H:$H,'Cursuri AW'!$B:$B,Costuri!C18)</f>
        <v>11</v>
      </c>
      <c r="E18" s="98">
        <f>SUMIFS('Cursuri AW'!$N:$N,'Cursuri AW'!$B:$B,Costuri!C18)</f>
        <v>3545</v>
      </c>
      <c r="F18" s="98">
        <f>SUMIFS('Cursuri AW'!$O:$O,'Cursuri AW'!$B:$B,Costuri!C18)</f>
        <v>595</v>
      </c>
      <c r="G18" s="98">
        <f>SUMIFS('Cursuri AW'!$P:$P,'Cursuri AW'!$B:$B,Costuri!C18)</f>
        <v>470</v>
      </c>
      <c r="H18" s="98">
        <f>SUMIFS('Cursuri AW'!$Q:$Q,'Cursuri AW'!$B:$B,Costuri!C18)+SUMIFS('Cursuri AW'!$R:$R,'Cursuri AW'!$B:$B,Costuri!C18)</f>
        <v>1020</v>
      </c>
      <c r="I18" s="98">
        <f>SUMIFS('Cursuri AW'!$S:$S,'Cursuri AW'!$B:$B,Costuri!C18)</f>
        <v>5630</v>
      </c>
      <c r="L18" s="56"/>
    </row>
    <row r="19" spans="2:15" x14ac:dyDescent="0.3">
      <c r="B19" s="151"/>
      <c r="C19" s="62" t="s">
        <v>25</v>
      </c>
      <c r="D19" s="6">
        <f>SUMIFS('Cursuri AW'!$H:$H,'Cursuri AW'!$B:$B,Costuri!C19)</f>
        <v>4</v>
      </c>
      <c r="E19" s="98">
        <f>SUMIFS('Cursuri AW'!$N:$N,'Cursuri AW'!$B:$B,Costuri!C19)</f>
        <v>2011</v>
      </c>
      <c r="F19" s="98">
        <f>SUMIFS('Cursuri AW'!$O:$O,'Cursuri AW'!$B:$B,Costuri!C19)</f>
        <v>230</v>
      </c>
      <c r="G19" s="98">
        <f>SUMIFS('Cursuri AW'!$P:$P,'Cursuri AW'!$B:$B,Costuri!C19)</f>
        <v>553.75</v>
      </c>
      <c r="H19" s="98">
        <f>SUMIFS('Cursuri AW'!$Q:$Q,'Cursuri AW'!$B:$B,Costuri!C19)+SUMIFS('Cursuri AW'!$R:$R,'Cursuri AW'!$B:$B,Costuri!C19)</f>
        <v>0</v>
      </c>
      <c r="I19" s="98">
        <f>SUMIFS('Cursuri AW'!$S:$S,'Cursuri AW'!$B:$B,Costuri!C19)</f>
        <v>2794.75</v>
      </c>
      <c r="L19" s="56"/>
    </row>
    <row r="20" spans="2:15" x14ac:dyDescent="0.3">
      <c r="B20" s="151"/>
      <c r="C20" s="62" t="s">
        <v>21</v>
      </c>
      <c r="D20" s="6">
        <f>SUMIFS('Cursuri AW'!$H:$H,'Cursuri AW'!$B:$B,Costuri!C20)</f>
        <v>5</v>
      </c>
      <c r="E20" s="98">
        <f>SUMIFS('Cursuri AW'!$N:$N,'Cursuri AW'!$B:$B,Costuri!C20)</f>
        <v>3545</v>
      </c>
      <c r="F20" s="98">
        <f>SUMIFS('Cursuri AW'!$O:$O,'Cursuri AW'!$B:$B,Costuri!C20)</f>
        <v>240</v>
      </c>
      <c r="G20" s="98">
        <f>SUMIFS('Cursuri AW'!$P:$P,'Cursuri AW'!$B:$B,Costuri!C20)</f>
        <v>0</v>
      </c>
      <c r="H20" s="98">
        <f>SUMIFS('Cursuri AW'!$Q:$Q,'Cursuri AW'!$B:$B,Costuri!C20)+SUMIFS('Cursuri AW'!$R:$R,'Cursuri AW'!$B:$B,Costuri!C20)</f>
        <v>0</v>
      </c>
      <c r="I20" s="98">
        <f>SUMIFS('Cursuri AW'!$S:$S,'Cursuri AW'!$B:$B,Costuri!C20)</f>
        <v>3785</v>
      </c>
      <c r="L20" s="56"/>
    </row>
    <row r="21" spans="2:15" x14ac:dyDescent="0.3">
      <c r="B21" s="151"/>
      <c r="C21" s="62" t="s">
        <v>28</v>
      </c>
      <c r="D21" s="6">
        <f>SUMIFS('Cursuri AW'!$H:$H,'Cursuri AW'!$B:$B,Costuri!C21)</f>
        <v>3</v>
      </c>
      <c r="E21" s="98">
        <f>SUMIFS('Cursuri AW'!$N:$N,'Cursuri AW'!$B:$B,Costuri!C21)</f>
        <v>1508</v>
      </c>
      <c r="F21" s="98">
        <f>SUMIFS('Cursuri AW'!$O:$O,'Cursuri AW'!$B:$B,Costuri!C21)</f>
        <v>172.5</v>
      </c>
      <c r="G21" s="98">
        <f>SUMIFS('Cursuri AW'!$P:$P,'Cursuri AW'!$B:$B,Costuri!C21)</f>
        <v>1176</v>
      </c>
      <c r="H21" s="98">
        <f>SUMIFS('Cursuri AW'!$Q:$Q,'Cursuri AW'!$B:$B,Costuri!C21)+SUMIFS('Cursuri AW'!$R:$R,'Cursuri AW'!$B:$B,Costuri!C21)</f>
        <v>0</v>
      </c>
      <c r="I21" s="98">
        <f>SUMIFS('Cursuri AW'!$S:$S,'Cursuri AW'!$B:$B,Costuri!C21)</f>
        <v>2856.5</v>
      </c>
      <c r="L21" s="56"/>
    </row>
    <row r="22" spans="2:15" x14ac:dyDescent="0.3">
      <c r="B22" s="151"/>
      <c r="C22" s="62" t="s">
        <v>30</v>
      </c>
      <c r="D22" s="6">
        <f>SUMIFS('Cursuri AW'!$H:$H,'Cursuri AW'!$B:$B,Costuri!C22)</f>
        <v>1</v>
      </c>
      <c r="E22" s="98">
        <f>SUMIFS('Cursuri AW'!$N:$N,'Cursuri AW'!$B:$B,Costuri!C22)</f>
        <v>3545</v>
      </c>
      <c r="F22" s="98">
        <f>SUMIFS('Cursuri AW'!$O:$O,'Cursuri AW'!$B:$B,Costuri!C22)</f>
        <v>0</v>
      </c>
      <c r="G22" s="98">
        <f>SUMIFS('Cursuri AW'!$P:$P,'Cursuri AW'!$B:$B,Costuri!C22)</f>
        <v>0</v>
      </c>
      <c r="H22" s="98">
        <f>SUMIFS('Cursuri AW'!$Q:$Q,'Cursuri AW'!$B:$B,Costuri!C22)+SUMIFS('Cursuri AW'!$R:$R,'Cursuri AW'!$B:$B,Costuri!C22)</f>
        <v>0</v>
      </c>
      <c r="I22" s="98">
        <f>SUMIFS('Cursuri AW'!$S:$S,'Cursuri AW'!$B:$B,Costuri!C22)</f>
        <v>3545</v>
      </c>
      <c r="L22" s="56"/>
      <c r="M22" s="70"/>
      <c r="N22" s="70"/>
      <c r="O22" s="70"/>
    </row>
    <row r="23" spans="2:15" x14ac:dyDescent="0.3">
      <c r="B23" s="151"/>
      <c r="C23" s="62" t="s">
        <v>41</v>
      </c>
      <c r="D23" s="6">
        <f>SUMIFS('Cursuri AW'!$H:$H,'Cursuri AW'!$B:$B,Costuri!C23)</f>
        <v>1</v>
      </c>
      <c r="E23" s="98">
        <f>SUMIFS('Cursuri AW'!$N:$N,'Cursuri AW'!$B:$B,Costuri!C23)</f>
        <v>3545</v>
      </c>
      <c r="F23" s="98">
        <f>SUMIFS('Cursuri AW'!$O:$O,'Cursuri AW'!$B:$B,Costuri!C23)</f>
        <v>0</v>
      </c>
      <c r="G23" s="98">
        <f>SUMIFS('Cursuri AW'!$P:$P,'Cursuri AW'!$B:$B,Costuri!C23)</f>
        <v>0</v>
      </c>
      <c r="H23" s="98">
        <f>SUMIFS('Cursuri AW'!$Q:$Q,'Cursuri AW'!$B:$B,Costuri!C23)+SUMIFS('Cursuri AW'!$R:$R,'Cursuri AW'!$B:$B,Costuri!C23)</f>
        <v>0</v>
      </c>
      <c r="I23" s="98">
        <f>SUMIFS('Cursuri AW'!$S:$S,'Cursuri AW'!$B:$B,Costuri!C23)</f>
        <v>3545</v>
      </c>
    </row>
    <row r="24" spans="2:15" x14ac:dyDescent="0.3">
      <c r="B24" s="151"/>
      <c r="C24" s="62" t="s">
        <v>34</v>
      </c>
      <c r="D24" s="6">
        <f>SUMIFS('Cursuri AW'!$H:$H,'Cursuri AW'!$B:$B,Costuri!C24)</f>
        <v>1</v>
      </c>
      <c r="E24" s="98">
        <f>SUMIFS('Cursuri AW'!$N:$N,'Cursuri AW'!$B:$B,Costuri!C24)</f>
        <v>3545</v>
      </c>
      <c r="F24" s="98">
        <f>SUMIFS('Cursuri AW'!$O:$O,'Cursuri AW'!$B:$B,Costuri!C24)</f>
        <v>0</v>
      </c>
      <c r="G24" s="98">
        <f>SUMIFS('Cursuri AW'!$P:$P,'Cursuri AW'!$B:$B,Costuri!C24)</f>
        <v>0</v>
      </c>
      <c r="H24" s="98">
        <f>SUMIFS('Cursuri AW'!$Q:$Q,'Cursuri AW'!$B:$B,Costuri!C24)+SUMIFS('Cursuri AW'!$R:$R,'Cursuri AW'!$B:$B,Costuri!C24)</f>
        <v>0</v>
      </c>
      <c r="I24" s="98">
        <f>SUMIFS('Cursuri AW'!$S:$S,'Cursuri AW'!$B:$B,Costuri!C24)</f>
        <v>3545</v>
      </c>
      <c r="L24" s="56"/>
    </row>
    <row r="25" spans="2:15" x14ac:dyDescent="0.3">
      <c r="B25" s="151"/>
      <c r="C25" s="62" t="s">
        <v>35</v>
      </c>
      <c r="D25" s="6">
        <f>SUMIFS('Cursuri AW'!$H:$H,'Cursuri AW'!$B:$B,Costuri!C25)</f>
        <v>9</v>
      </c>
      <c r="E25" s="98">
        <f>SUMIFS('Cursuri AW'!$N:$N,'Cursuri AW'!$B:$B,Costuri!C25)</f>
        <v>1950</v>
      </c>
      <c r="F25" s="98">
        <f>SUMIFS('Cursuri AW'!$O:$O,'Cursuri AW'!$B:$B,Costuri!C25)</f>
        <v>987.5</v>
      </c>
      <c r="G25" s="98">
        <f>SUMIFS('Cursuri AW'!$P:$P,'Cursuri AW'!$B:$B,Costuri!C25)</f>
        <v>1037</v>
      </c>
      <c r="H25" s="98">
        <f>SUMIFS('Cursuri AW'!$Q:$Q,'Cursuri AW'!$B:$B,Costuri!C25)+SUMIFS('Cursuri AW'!$R:$R,'Cursuri AW'!$B:$B,Costuri!C25)</f>
        <v>177</v>
      </c>
      <c r="I25" s="98">
        <f>SUMIFS('Cursuri AW'!$S:$S,'Cursuri AW'!$B:$B,Costuri!C25)</f>
        <v>4151.5</v>
      </c>
      <c r="L25" s="56"/>
    </row>
    <row r="26" spans="2:15" ht="15" thickBot="1" x14ac:dyDescent="0.35">
      <c r="B26" s="151"/>
      <c r="C26" s="41" t="s">
        <v>49</v>
      </c>
      <c r="D26" s="41">
        <f>SUMIFS('Cursuri AW'!$H:$H,'Cursuri AW'!$B:$B,Costuri!C26)</f>
        <v>0</v>
      </c>
      <c r="E26" s="99">
        <f>SUMIFS('Cursuri AW'!$N:$N,'Cursuri AW'!$B:$B,Costuri!C26)</f>
        <v>0</v>
      </c>
      <c r="F26" s="99">
        <f>SUMIFS('Cursuri AW'!$O:$O,'Cursuri AW'!$B:$B,Costuri!C26)</f>
        <v>0</v>
      </c>
      <c r="G26" s="99">
        <f>SUMIFS('Cursuri AW'!$P:$P,'Cursuri AW'!$B:$B,Costuri!C26)</f>
        <v>0</v>
      </c>
      <c r="H26" s="99">
        <f>SUMIFS('Cursuri AW'!$Q:$Q,'Cursuri AW'!$B:$B,Costuri!C26)+SUMIFS('Cursuri AW'!$R:$R,'Cursuri AW'!$B:$B,Costuri!C26)</f>
        <v>0</v>
      </c>
      <c r="I26" s="99">
        <f>SUMIFS('Cursuri AW'!$S:$S,'Cursuri AW'!$B:$B,Costuri!C26)</f>
        <v>0</v>
      </c>
      <c r="L26" s="56"/>
    </row>
    <row r="27" spans="2:15" x14ac:dyDescent="0.3">
      <c r="B27" s="152"/>
      <c r="C27" s="40" t="s">
        <v>51</v>
      </c>
      <c r="D27" s="40">
        <f t="shared" ref="D27:I27" si="10">SUM(D16:D26)</f>
        <v>90</v>
      </c>
      <c r="E27" s="100">
        <f t="shared" si="10"/>
        <v>144512</v>
      </c>
      <c r="F27" s="100">
        <f t="shared" si="10"/>
        <v>6429.5</v>
      </c>
      <c r="G27" s="100">
        <f t="shared" si="10"/>
        <v>5546.75</v>
      </c>
      <c r="H27" s="100">
        <f t="shared" si="10"/>
        <v>10575</v>
      </c>
      <c r="I27" s="100">
        <f t="shared" si="10"/>
        <v>167063.25</v>
      </c>
      <c r="L27" s="56"/>
    </row>
    <row r="28" spans="2:15" x14ac:dyDescent="0.3">
      <c r="L28" s="56"/>
      <c r="M28" s="70"/>
      <c r="N28" s="70"/>
      <c r="O28" s="70"/>
    </row>
    <row r="29" spans="2:15" ht="28.8" x14ac:dyDescent="0.3">
      <c r="B29" s="153" t="s">
        <v>24</v>
      </c>
      <c r="C29" s="75" t="s">
        <v>1</v>
      </c>
      <c r="D29" s="75" t="s">
        <v>19</v>
      </c>
      <c r="E29" s="75" t="s">
        <v>249</v>
      </c>
      <c r="F29" s="75" t="s">
        <v>247</v>
      </c>
      <c r="G29" s="75" t="s">
        <v>248</v>
      </c>
      <c r="H29" s="75" t="s">
        <v>250</v>
      </c>
      <c r="I29" s="76" t="s">
        <v>246</v>
      </c>
    </row>
    <row r="30" spans="2:15" x14ac:dyDescent="0.3">
      <c r="B30" s="154"/>
      <c r="C30" s="10" t="s">
        <v>22</v>
      </c>
      <c r="D30" s="10">
        <f>SUMIFS('Cursuri AW International'!$H:$H,'Cursuri AW International'!$B:$B,Costuri!C30)</f>
        <v>66</v>
      </c>
      <c r="E30" s="101">
        <f>SUMIFS('Cursuri AW International'!$N:$N,'Cursuri AW International'!$B:$B,Costuri!C30)</f>
        <v>44786</v>
      </c>
      <c r="F30" s="101">
        <f>SUMIFS('Cursuri AW International'!$O:$O,'Cursuri AW International'!$B:$B,Costuri!C30)</f>
        <v>4664.34</v>
      </c>
      <c r="G30" s="101">
        <f>SUMIFS('Cursuri AW International'!$P:$P,'Cursuri AW International'!$B:$B,Costuri!C30)</f>
        <v>2361</v>
      </c>
      <c r="H30" s="101">
        <f>SUMIFS('Cursuri AW International'!$Q:$Q,'Cursuri AW International'!$B:$B,Costuri!C30)+SUMIFS('Cursuri AW International'!$R:$R,'Cursuri AW International'!$B:$B,Costuri!C30)</f>
        <v>5528</v>
      </c>
      <c r="I30" s="101">
        <f>SUMIFS('Cursuri AW International'!$S:$S,'Cursuri AW International'!$B:$B,Costuri!C30)</f>
        <v>57339.34</v>
      </c>
      <c r="L30" s="56"/>
    </row>
    <row r="31" spans="2:15" x14ac:dyDescent="0.3">
      <c r="B31" s="154"/>
      <c r="C31" s="10" t="s">
        <v>25</v>
      </c>
      <c r="D31" s="10">
        <f>SUMIFS('Cursuri AW International'!$H:$H,'Cursuri AW International'!$B:$B,Costuri!C31)</f>
        <v>67</v>
      </c>
      <c r="E31" s="101">
        <f>SUMIFS('Cursuri AW International'!$N:$N,'Cursuri AW International'!$B:$B,Costuri!C31)</f>
        <v>18804</v>
      </c>
      <c r="F31" s="101">
        <f>SUMIFS('Cursuri AW International'!$O:$O,'Cursuri AW International'!$B:$B,Costuri!C31)</f>
        <v>3797.5</v>
      </c>
      <c r="G31" s="101">
        <f>SUMIFS('Cursuri AW International'!$P:$P,'Cursuri AW International'!$B:$B,Costuri!C31)</f>
        <v>8506</v>
      </c>
      <c r="H31" s="101">
        <f>SUMIFS('Cursuri AW International'!$Q:$Q,'Cursuri AW International'!$B:$B,Costuri!C31)+SUMIFS('Cursuri AW International'!$R:$R,'Cursuri AW International'!$B:$B,Costuri!C31)</f>
        <v>4521</v>
      </c>
      <c r="I31" s="101">
        <f>SUMIFS('Cursuri AW International'!$S:$S,'Cursuri AW International'!$B:$B,Costuri!C31)</f>
        <v>35628.5</v>
      </c>
      <c r="L31" s="56"/>
    </row>
    <row r="32" spans="2:15" ht="15" thickBot="1" x14ac:dyDescent="0.35">
      <c r="B32" s="154"/>
      <c r="C32" s="43" t="s">
        <v>26</v>
      </c>
      <c r="D32" s="43">
        <f>SUMIFS('Cursuri AW International'!$H:$H,'Cursuri AW International'!$B:$B,Costuri!C32)</f>
        <v>2</v>
      </c>
      <c r="E32" s="102">
        <f>SUMIFS('Cursuri AW International'!$N:$N,'Cursuri AW International'!$B:$B,Costuri!C32)</f>
        <v>0</v>
      </c>
      <c r="F32" s="102">
        <f>SUMIFS('Cursuri AW International'!$O:$O,'Cursuri AW International'!$B:$B,Costuri!C32)</f>
        <v>115</v>
      </c>
      <c r="G32" s="102">
        <f>SUMIFS('Cursuri AW International'!$P:$P,'Cursuri AW International'!$B:$B,Costuri!C32)</f>
        <v>0</v>
      </c>
      <c r="H32" s="102">
        <f>SUMIFS('Cursuri AW International'!$Q:$Q,'Cursuri AW International'!$B:$B,Costuri!C32)+SUMIFS('Cursuri AW International'!$R:$R,'Cursuri AW International'!$B:$B,Costuri!C32)</f>
        <v>0</v>
      </c>
      <c r="I32" s="102">
        <f>SUMIFS('Cursuri AW International'!$S:$S,'Cursuri AW International'!$B:$B,Costuri!C32)</f>
        <v>115</v>
      </c>
      <c r="L32" s="56"/>
    </row>
    <row r="33" spans="2:15" x14ac:dyDescent="0.3">
      <c r="B33" s="155"/>
      <c r="C33" s="42" t="s">
        <v>51</v>
      </c>
      <c r="D33" s="42">
        <f>SUM(D30:D32)</f>
        <v>135</v>
      </c>
      <c r="E33" s="103">
        <f t="shared" ref="E33:H33" si="11">SUM(E30:E32)</f>
        <v>63590</v>
      </c>
      <c r="F33" s="103">
        <f t="shared" si="11"/>
        <v>8576.84</v>
      </c>
      <c r="G33" s="103">
        <f t="shared" si="11"/>
        <v>10867</v>
      </c>
      <c r="H33" s="103">
        <f t="shared" si="11"/>
        <v>10049</v>
      </c>
      <c r="I33" s="103">
        <f>SUM(I30:I32)</f>
        <v>93082.84</v>
      </c>
      <c r="L33" s="56"/>
    </row>
    <row r="34" spans="2:15" x14ac:dyDescent="0.3">
      <c r="L34" s="56"/>
      <c r="M34" s="70"/>
      <c r="N34" s="70"/>
      <c r="O34" s="70"/>
    </row>
    <row r="35" spans="2:15" ht="28.8" x14ac:dyDescent="0.3">
      <c r="B35" s="156" t="s">
        <v>27</v>
      </c>
      <c r="C35" s="77" t="s">
        <v>1</v>
      </c>
      <c r="D35" s="77" t="s">
        <v>19</v>
      </c>
      <c r="E35" s="77" t="s">
        <v>249</v>
      </c>
      <c r="F35" s="77" t="s">
        <v>247</v>
      </c>
      <c r="G35" s="77" t="s">
        <v>248</v>
      </c>
      <c r="H35" s="77" t="s">
        <v>250</v>
      </c>
      <c r="I35" s="78" t="s">
        <v>246</v>
      </c>
    </row>
    <row r="36" spans="2:15" x14ac:dyDescent="0.3">
      <c r="B36" s="157"/>
      <c r="C36" s="15" t="s">
        <v>21</v>
      </c>
      <c r="D36" s="15">
        <f>SUMIFS('Cursuri AW Premium'!$H:$H,'Cursuri AW Premium'!$B:$B,Costuri!C36)</f>
        <v>24</v>
      </c>
      <c r="E36" s="104">
        <f>SUMIFS('Cursuri AW Premium'!$N:$N,'Cursuri AW Premium'!$B:$B,Costuri!C36)</f>
        <v>6698</v>
      </c>
      <c r="F36" s="104">
        <f>SUMIFS('Cursuri AW Premium'!$O:$O,'Cursuri AW Premium'!$B:$B,Costuri!C36)</f>
        <v>2617.5</v>
      </c>
      <c r="G36" s="104">
        <f>SUMIFS('Cursuri AW Premium'!$P:$P,'Cursuri AW Premium'!$B:$B,Costuri!C36)</f>
        <v>0</v>
      </c>
      <c r="H36" s="104">
        <f>SUMIFS('Cursuri AW Premium'!$Q:$Q,'Cursuri AW Premium'!$B:$B,Costuri!C36)+SUMIFS('Cursuri AW Premium'!$R:$R,'Cursuri AW Premium'!$B:$B,Costuri!C36)</f>
        <v>510</v>
      </c>
      <c r="I36" s="104">
        <f>SUMIFS('Cursuri AW Premium'!$S:$S,'Cursuri AW Premium'!$B:$B,Costuri!C36)</f>
        <v>9825.5</v>
      </c>
      <c r="L36" s="56"/>
    </row>
    <row r="37" spans="2:15" x14ac:dyDescent="0.3">
      <c r="B37" s="157"/>
      <c r="C37" s="15" t="s">
        <v>90</v>
      </c>
      <c r="D37" s="15">
        <f>SUMIFS('Cursuri AW Premium'!$H:$H,'Cursuri AW Premium'!$B:$B,Costuri!C37)</f>
        <v>38</v>
      </c>
      <c r="E37" s="104">
        <f>SUMIFS('Cursuri AW Premium'!$N:$N,'Cursuri AW Premium'!$B:$B,Costuri!C37)</f>
        <v>13203</v>
      </c>
      <c r="F37" s="104">
        <f>SUMIFS('Cursuri AW Premium'!$O:$O,'Cursuri AW Premium'!$B:$B,Costuri!C37)</f>
        <v>2611</v>
      </c>
      <c r="G37" s="104">
        <f>SUMIFS('Cursuri AW Premium'!$P:$P,'Cursuri AW Premium'!$B:$B,Costuri!C37)</f>
        <v>6308</v>
      </c>
      <c r="H37" s="104">
        <f>SUMIFS('Cursuri AW Premium'!$Q:$Q,'Cursuri AW Premium'!$B:$B,Costuri!C37)+SUMIFS('Cursuri AW Premium'!$R:$R,'Cursuri AW Premium'!$B:$B,Costuri!C37)</f>
        <v>2550</v>
      </c>
      <c r="I37" s="104">
        <f>SUMIFS('Cursuri AW Premium'!$S:$S,'Cursuri AW Premium'!$B:$B,Costuri!C37)</f>
        <v>24672</v>
      </c>
      <c r="L37" s="56"/>
    </row>
    <row r="38" spans="2:15" ht="15" thickBot="1" x14ac:dyDescent="0.35">
      <c r="B38" s="157"/>
      <c r="C38" s="45" t="s">
        <v>28</v>
      </c>
      <c r="D38" s="45">
        <f>SUMIFS('Cursuri AW Premium'!$H:$H,'Cursuri AW Premium'!$B:$B,Costuri!C38)</f>
        <v>5</v>
      </c>
      <c r="E38" s="105">
        <f>SUMIFS('Cursuri AW Premium'!$N:$N,'Cursuri AW Premium'!$B:$B,Costuri!C38)</f>
        <v>0</v>
      </c>
      <c r="F38" s="105">
        <f>SUMIFS('Cursuri AW Premium'!$O:$O,'Cursuri AW Premium'!$B:$B,Costuri!C38)</f>
        <v>558</v>
      </c>
      <c r="G38" s="105">
        <f>SUMIFS('Cursuri AW Premium'!$P:$P,'Cursuri AW Premium'!$B:$B,Costuri!C38)</f>
        <v>0</v>
      </c>
      <c r="H38" s="105">
        <f>SUMIFS('Cursuri AW Premium'!$Q:$Q,'Cursuri AW Premium'!$B:$B,Costuri!C38)+SUMIFS('Cursuri AW Premium'!$R:$R,'Cursuri AW Premium'!$B:$B,Costuri!C38)</f>
        <v>0</v>
      </c>
      <c r="I38" s="105">
        <f>SUMIFS('Cursuri AW Premium'!$S:$S,'Cursuri AW Premium'!$B:$B,Costuri!C38)</f>
        <v>558</v>
      </c>
      <c r="L38" s="56"/>
      <c r="M38" s="70"/>
      <c r="N38" s="70"/>
      <c r="O38" s="70"/>
    </row>
    <row r="39" spans="2:15" x14ac:dyDescent="0.3">
      <c r="B39" s="158"/>
      <c r="C39" s="44" t="s">
        <v>51</v>
      </c>
      <c r="D39" s="44">
        <f>SUM(D36:D38)</f>
        <v>67</v>
      </c>
      <c r="E39" s="106">
        <f t="shared" ref="E39:H39" si="12">SUM(E36:E38)</f>
        <v>19901</v>
      </c>
      <c r="F39" s="106">
        <f t="shared" si="12"/>
        <v>5786.5</v>
      </c>
      <c r="G39" s="106">
        <f t="shared" si="12"/>
        <v>6308</v>
      </c>
      <c r="H39" s="106">
        <f t="shared" si="12"/>
        <v>3060</v>
      </c>
      <c r="I39" s="106">
        <f>SUM(I36:I38)</f>
        <v>35055.5</v>
      </c>
      <c r="L39" s="56"/>
    </row>
    <row r="41" spans="2:15" ht="28.8" x14ac:dyDescent="0.3">
      <c r="B41" s="147" t="s">
        <v>29</v>
      </c>
      <c r="C41" s="79" t="s">
        <v>1</v>
      </c>
      <c r="D41" s="79" t="s">
        <v>19</v>
      </c>
      <c r="E41" s="79" t="s">
        <v>249</v>
      </c>
      <c r="F41" s="79" t="s">
        <v>247</v>
      </c>
      <c r="G41" s="79" t="s">
        <v>248</v>
      </c>
      <c r="H41" s="79" t="s">
        <v>250</v>
      </c>
      <c r="I41" s="80" t="s">
        <v>246</v>
      </c>
    </row>
    <row r="42" spans="2:15" x14ac:dyDescent="0.3">
      <c r="B42" s="148"/>
      <c r="C42" s="20" t="s">
        <v>30</v>
      </c>
      <c r="D42" s="20">
        <f>SUMIFS('Cursuri AW Prestige'!$H:$H,'Cursuri AW Prestige'!$B:$B,Costuri!C42)</f>
        <v>10</v>
      </c>
      <c r="E42" s="107">
        <f>SUMIFS('Cursuri AW Prestige'!$N:$N,'Cursuri AW Prestige'!$B:$B,Costuri!C42)</f>
        <v>3152</v>
      </c>
      <c r="F42" s="107">
        <f>SUMIFS('Cursuri AW Prestige'!$O:$O,'Cursuri AW Prestige'!$B:$B,Costuri!C42)</f>
        <v>517.5</v>
      </c>
      <c r="G42" s="107">
        <f>SUMIFS('Cursuri AW Prestige'!$P:$P,'Cursuri AW Prestige'!$B:$B,Costuri!C42)</f>
        <v>2867</v>
      </c>
      <c r="H42" s="107">
        <f>SUMIFS('Cursuri AW Prestige'!$Q:$Q,'Cursuri AW Prestige'!$B:$B,Costuri!C42)+SUMIFS('Cursuri AW Prestige'!$R:$R,'Cursuri AW Prestige'!$B:$B,Costuri!C42)</f>
        <v>0</v>
      </c>
      <c r="I42" s="107">
        <f>SUMIFS('Cursuri AW Prestige'!$S:$S,'Cursuri AW Prestige'!$B:$B,Costuri!C42)</f>
        <v>6536.5</v>
      </c>
    </row>
    <row r="43" spans="2:15" x14ac:dyDescent="0.3">
      <c r="B43" s="148"/>
      <c r="C43" s="20" t="s">
        <v>41</v>
      </c>
      <c r="D43" s="20">
        <f>SUMIFS('Cursuri AW Prestige'!$H:$H,'Cursuri AW Prestige'!$B:$B,Costuri!C43)</f>
        <v>0</v>
      </c>
      <c r="E43" s="107">
        <f>SUMIFS('Cursuri AW Prestige'!$N:$N,'Cursuri AW Prestige'!$B:$B,Costuri!C43)</f>
        <v>0</v>
      </c>
      <c r="F43" s="107">
        <f>SUMIFS('Cursuri AW Prestige'!$O:$O,'Cursuri AW Prestige'!$B:$B,Costuri!C43)</f>
        <v>0</v>
      </c>
      <c r="G43" s="107">
        <f>SUMIFS('Cursuri AW Prestige'!$P:$P,'Cursuri AW Prestige'!$B:$B,Costuri!C43)</f>
        <v>0</v>
      </c>
      <c r="H43" s="107">
        <f>SUMIFS('Cursuri AW Prestige'!$Q:$Q,'Cursuri AW Prestige'!$B:$B,Costuri!C43)+SUMIFS('Cursuri AW Prestige'!$R:$R,'Cursuri AW Prestige'!$B:$B,Costuri!C43)</f>
        <v>0</v>
      </c>
      <c r="I43" s="107">
        <f>SUMIFS('Cursuri AW Prestige'!$S:$S,'Cursuri AW Prestige'!$B:$B,Costuri!C43)</f>
        <v>0</v>
      </c>
    </row>
    <row r="44" spans="2:15" x14ac:dyDescent="0.3">
      <c r="B44" s="148"/>
      <c r="C44" s="20" t="s">
        <v>31</v>
      </c>
      <c r="D44" s="20">
        <f>SUMIFS('Cursuri AW Prestige'!$H:$H,'Cursuri AW Prestige'!$B:$B,Costuri!C44)</f>
        <v>48</v>
      </c>
      <c r="E44" s="107">
        <f>SUMIFS('Cursuri AW Prestige'!$N:$N,'Cursuri AW Prestige'!$B:$B,Costuri!C44)</f>
        <v>4630</v>
      </c>
      <c r="F44" s="107">
        <f>SUMIFS('Cursuri AW Prestige'!$O:$O,'Cursuri AW Prestige'!$B:$B,Costuri!C44)</f>
        <v>2587.5</v>
      </c>
      <c r="G44" s="107">
        <f>SUMIFS('Cursuri AW Prestige'!$P:$P,'Cursuri AW Prestige'!$B:$B,Costuri!C44)</f>
        <v>5441</v>
      </c>
      <c r="H44" s="107">
        <f>SUMIFS('Cursuri AW Prestige'!$Q:$Q,'Cursuri AW Prestige'!$B:$B,Costuri!C44)+SUMIFS('Cursuri AW Prestige'!$R:$R,'Cursuri AW Prestige'!$B:$B,Costuri!C44)</f>
        <v>0</v>
      </c>
      <c r="I44" s="107">
        <f>SUMIFS('Cursuri AW Prestige'!$S:$S,'Cursuri AW Prestige'!$B:$B,Costuri!C44)</f>
        <v>12658.5</v>
      </c>
    </row>
    <row r="45" spans="2:15" ht="15" thickBot="1" x14ac:dyDescent="0.35">
      <c r="B45" s="148"/>
      <c r="C45" s="47" t="s">
        <v>32</v>
      </c>
      <c r="D45" s="47">
        <f>SUMIFS('Cursuri AW Prestige'!$H:$H,'Cursuri AW Prestige'!$B:$B,Costuri!C45)</f>
        <v>0</v>
      </c>
      <c r="E45" s="108">
        <f>SUMIFS('Cursuri AW Prestige'!$N:$N,'Cursuri AW Prestige'!$B:$B,Costuri!C45)</f>
        <v>0</v>
      </c>
      <c r="F45" s="108">
        <f>SUMIFS('Cursuri AW Prestige'!$O:$O,'Cursuri AW Prestige'!$B:$B,Costuri!C45)</f>
        <v>0</v>
      </c>
      <c r="G45" s="108">
        <f>SUMIFS('Cursuri AW Prestige'!$P:$P,'Cursuri AW Prestige'!$B:$B,Costuri!C45)</f>
        <v>0</v>
      </c>
      <c r="H45" s="108">
        <f>SUMIFS('Cursuri AW Prestige'!$Q:$Q,'Cursuri AW Prestige'!$B:$B,Costuri!C45)+SUMIFS('Cursuri AW Prestige'!$R:$R,'Cursuri AW Prestige'!$B:$B,Costuri!C45)</f>
        <v>0</v>
      </c>
      <c r="I45" s="108">
        <f>SUMIFS('Cursuri AW Prestige'!$S:$S,'Cursuri AW Prestige'!$B:$B,Costuri!C45)</f>
        <v>0</v>
      </c>
    </row>
    <row r="46" spans="2:15" x14ac:dyDescent="0.3">
      <c r="B46" s="149"/>
      <c r="C46" s="46" t="s">
        <v>51</v>
      </c>
      <c r="D46" s="46">
        <f>SUM(D42:D45)</f>
        <v>58</v>
      </c>
      <c r="E46" s="109">
        <f t="shared" ref="E46:H46" si="13">SUM(E42:E45)</f>
        <v>7782</v>
      </c>
      <c r="F46" s="109">
        <f t="shared" si="13"/>
        <v>3105</v>
      </c>
      <c r="G46" s="109">
        <f t="shared" si="13"/>
        <v>8308</v>
      </c>
      <c r="H46" s="109">
        <f t="shared" si="13"/>
        <v>0</v>
      </c>
      <c r="I46" s="109">
        <f>SUM(I42:I45)</f>
        <v>19195</v>
      </c>
    </row>
    <row r="48" spans="2:15" ht="28.8" x14ac:dyDescent="0.3">
      <c r="B48" s="135" t="s">
        <v>33</v>
      </c>
      <c r="C48" s="71" t="s">
        <v>1</v>
      </c>
      <c r="D48" s="71" t="s">
        <v>19</v>
      </c>
      <c r="E48" s="71" t="s">
        <v>249</v>
      </c>
      <c r="F48" s="71" t="s">
        <v>247</v>
      </c>
      <c r="G48" s="71" t="s">
        <v>248</v>
      </c>
      <c r="H48" s="71" t="s">
        <v>250</v>
      </c>
      <c r="I48" s="72" t="s">
        <v>246</v>
      </c>
    </row>
    <row r="49" spans="2:9" x14ac:dyDescent="0.3">
      <c r="B49" s="136"/>
      <c r="C49" s="25" t="s">
        <v>34</v>
      </c>
      <c r="D49" s="25">
        <f>SUMIFS('Cursuri AW Plus'!$H:$H,'Cursuri AW Plus'!$B:$B,Costuri!C49)</f>
        <v>12</v>
      </c>
      <c r="E49" s="110">
        <f>SUMIFS('Cursuri AW Plus'!$N:$N,'Cursuri AW Plus'!$B:$B,Costuri!C49)</f>
        <v>11945</v>
      </c>
      <c r="F49" s="110">
        <f>SUMIFS('Cursuri AW Plus'!$O:$O,'Cursuri AW Plus'!$B:$B,Costuri!C49)</f>
        <v>575</v>
      </c>
      <c r="G49" s="110">
        <f>SUMIFS('Cursuri AW Plus'!$P:$P,'Cursuri AW Plus'!$B:$B,Costuri!C49)</f>
        <v>2570</v>
      </c>
      <c r="H49" s="110">
        <f>SUMIFS('Cursuri AW Plus'!$Q:$Q,'Cursuri AW Plus'!$B:$B,Costuri!C49)+SUMIFS('Cursuri AW Plus'!$R:$R,'Cursuri AW Plus'!$B:$B,Costuri!C49)</f>
        <v>2673</v>
      </c>
      <c r="I49" s="110">
        <f>SUMIFS('Cursuri AW Plus'!$S:$S,'Cursuri AW Plus'!$B:$B, Costuri!C49)</f>
        <v>17763</v>
      </c>
    </row>
    <row r="50" spans="2:9" x14ac:dyDescent="0.3">
      <c r="B50" s="136"/>
      <c r="C50" s="25" t="s">
        <v>35</v>
      </c>
      <c r="D50" s="25">
        <f>SUMIFS('Cursuri AW Plus'!$H:$H,'Cursuri AW Plus'!$B:$B,Costuri!C50)</f>
        <v>9</v>
      </c>
      <c r="E50" s="110">
        <f>SUMIFS('Cursuri AW Plus'!$N:$N,'Cursuri AW Plus'!$B:$B,Costuri!C50)</f>
        <v>3434</v>
      </c>
      <c r="F50" s="110">
        <f>SUMIFS('Cursuri AW Plus'!$O:$O,'Cursuri AW Plus'!$B:$B,Costuri!C50)</f>
        <v>460</v>
      </c>
      <c r="G50" s="110">
        <f>SUMIFS('Cursuri AW Plus'!$P:$P,'Cursuri AW Plus'!$B:$B,Costuri!C50)</f>
        <v>1740</v>
      </c>
      <c r="H50" s="110">
        <f>SUMIFS('Cursuri AW Plus'!$Q:$Q,'Cursuri AW Plus'!$B:$B,Costuri!C50)+SUMIFS('Cursuri AW Plus'!$R:$R,'Cursuri AW Plus'!$B:$B,Costuri!C50)</f>
        <v>0</v>
      </c>
      <c r="I50" s="110">
        <f>SUMIFS('Cursuri AW Plus'!$S:$S,'Cursuri AW Plus'!$B:$B, Costuri!C50)</f>
        <v>5634</v>
      </c>
    </row>
    <row r="51" spans="2:9" x14ac:dyDescent="0.3">
      <c r="B51" s="136"/>
      <c r="C51" s="25" t="s">
        <v>36</v>
      </c>
      <c r="D51" s="25">
        <f>SUMIFS('Cursuri AW Plus'!$H:$H,'Cursuri AW Plus'!$B:$B,Costuri!C51)</f>
        <v>1</v>
      </c>
      <c r="E51" s="110">
        <f>SUMIFS('Cursuri AW Plus'!$N:$N,'Cursuri AW Plus'!$B:$B,Costuri!C51)</f>
        <v>0</v>
      </c>
      <c r="F51" s="110">
        <f>SUMIFS('Cursuri AW Plus'!$O:$O,'Cursuri AW Plus'!$B:$B,Costuri!C51)</f>
        <v>57.5</v>
      </c>
      <c r="G51" s="110">
        <f>SUMIFS('Cursuri AW Plus'!$P:$P,'Cursuri AW Plus'!$B:$B,Costuri!C51)</f>
        <v>587</v>
      </c>
      <c r="H51" s="110">
        <f>SUMIFS('Cursuri AW Plus'!$Q:$Q,'Cursuri AW Plus'!$B:$B,Costuri!C51)+SUMIFS('Cursuri AW Plus'!$R:$R,'Cursuri AW Plus'!$B:$B,Costuri!C51)</f>
        <v>813</v>
      </c>
      <c r="I51" s="110">
        <f>SUMIFS('Cursuri AW Plus'!$S:$S,'Cursuri AW Plus'!$B:$B, Costuri!C51)</f>
        <v>1457.5</v>
      </c>
    </row>
    <row r="52" spans="2:9" x14ac:dyDescent="0.3">
      <c r="B52" s="136"/>
      <c r="C52" s="25" t="s">
        <v>37</v>
      </c>
      <c r="D52" s="25">
        <f>SUMIFS('Cursuri AW Plus'!$H:$H,'Cursuri AW Plus'!$B:$B,Costuri!C52)</f>
        <v>7</v>
      </c>
      <c r="E52" s="110">
        <f>SUMIFS('Cursuri AW Plus'!$N:$N,'Cursuri AW Plus'!$B:$B,Costuri!C52)</f>
        <v>0</v>
      </c>
      <c r="F52" s="110">
        <f>SUMIFS('Cursuri AW Plus'!$O:$O,'Cursuri AW Plus'!$B:$B,Costuri!C52)</f>
        <v>872.5</v>
      </c>
      <c r="G52" s="110">
        <f>SUMIFS('Cursuri AW Plus'!$P:$P,'Cursuri AW Plus'!$B:$B,Costuri!C52)</f>
        <v>0</v>
      </c>
      <c r="H52" s="110">
        <f>SUMIFS('Cursuri AW Plus'!$Q:$Q,'Cursuri AW Plus'!$B:$B,Costuri!C52)+SUMIFS('Cursuri AW Plus'!$R:$R,'Cursuri AW Plus'!$B:$B,Costuri!C52)</f>
        <v>0</v>
      </c>
      <c r="I52" s="110">
        <f>SUMIFS('Cursuri AW Plus'!$S:$S,'Cursuri AW Plus'!$B:$B, Costuri!C52)</f>
        <v>872.5</v>
      </c>
    </row>
    <row r="53" spans="2:9" x14ac:dyDescent="0.3">
      <c r="B53" s="136"/>
      <c r="C53" s="25" t="s">
        <v>38</v>
      </c>
      <c r="D53" s="25">
        <f>SUMIFS('Cursuri AW Plus'!$H:$H,'Cursuri AW Plus'!$B:$B,Costuri!C53)</f>
        <v>10</v>
      </c>
      <c r="E53" s="110">
        <f>SUMIFS('Cursuri AW Plus'!$N:$N,'Cursuri AW Plus'!$B:$B,Costuri!C53)</f>
        <v>2102</v>
      </c>
      <c r="F53" s="110">
        <f>SUMIFS('Cursuri AW Plus'!$O:$O,'Cursuri AW Plus'!$B:$B,Costuri!C53)</f>
        <v>1123.5</v>
      </c>
      <c r="G53" s="110">
        <f>SUMIFS('Cursuri AW Plus'!$P:$P,'Cursuri AW Plus'!$B:$B,Costuri!C53)</f>
        <v>0</v>
      </c>
      <c r="H53" s="110">
        <f>SUMIFS('Cursuri AW Plus'!$Q:$Q,'Cursuri AW Plus'!$B:$B,Costuri!C53)+SUMIFS('Cursuri AW Plus'!$R:$R,'Cursuri AW Plus'!$B:$B,Costuri!C53)</f>
        <v>661</v>
      </c>
      <c r="I53" s="110">
        <f>SUMIFS('Cursuri AW Plus'!$S:$S,'Cursuri AW Plus'!$B:$B, Costuri!C53)</f>
        <v>3886.5</v>
      </c>
    </row>
    <row r="54" spans="2:9" ht="15" thickBot="1" x14ac:dyDescent="0.35">
      <c r="B54" s="136"/>
      <c r="C54" s="49" t="s">
        <v>39</v>
      </c>
      <c r="D54" s="49">
        <f>SUMIFS('Cursuri AW Plus'!$H:$H,'Cursuri AW Plus'!$B:$B,Costuri!C54)</f>
        <v>0</v>
      </c>
      <c r="E54" s="111">
        <f>SUMIFS('Cursuri AW Plus'!$N:$N,'Cursuri AW Plus'!$B:$B,Costuri!C54)</f>
        <v>0</v>
      </c>
      <c r="F54" s="111">
        <f>SUMIFS('Cursuri AW Plus'!$O:$O,'Cursuri AW Plus'!$B:$B,Costuri!C54)</f>
        <v>0</v>
      </c>
      <c r="G54" s="111">
        <f>SUMIFS('Cursuri AW Plus'!$P:$P,'Cursuri AW Plus'!$B:$B,Costuri!C54)</f>
        <v>0</v>
      </c>
      <c r="H54" s="111">
        <f>SUMIFS('Cursuri AW Plus'!$Q:$Q,'Cursuri AW Plus'!$B:$B,Costuri!C54)+SUMIFS('Cursuri AW Plus'!$R:$R,'Cursuri AW Plus'!$B:$B,Costuri!C54)</f>
        <v>0</v>
      </c>
      <c r="I54" s="111">
        <f>SUMIFS('Cursuri AW Plus'!$S:$S,'Cursuri AW Plus'!$B:$B, Costuri!C54)</f>
        <v>0</v>
      </c>
    </row>
    <row r="55" spans="2:9" x14ac:dyDescent="0.3">
      <c r="B55" s="137"/>
      <c r="C55" s="48" t="s">
        <v>51</v>
      </c>
      <c r="D55" s="48">
        <f>SUM(D49:D54)</f>
        <v>39</v>
      </c>
      <c r="E55" s="112">
        <f t="shared" ref="E55:H55" si="14">SUM(E49:E54)</f>
        <v>17481</v>
      </c>
      <c r="F55" s="112">
        <f t="shared" si="14"/>
        <v>3088.5</v>
      </c>
      <c r="G55" s="112">
        <f t="shared" si="14"/>
        <v>4897</v>
      </c>
      <c r="H55" s="112">
        <f t="shared" si="14"/>
        <v>4147</v>
      </c>
      <c r="I55" s="112">
        <f>SUM(I49:I54)</f>
        <v>29613.5</v>
      </c>
    </row>
    <row r="57" spans="2:9" ht="28.8" x14ac:dyDescent="0.3">
      <c r="B57" s="138" t="s">
        <v>40</v>
      </c>
      <c r="C57" s="81" t="s">
        <v>1</v>
      </c>
      <c r="D57" s="81" t="s">
        <v>19</v>
      </c>
      <c r="E57" s="81" t="s">
        <v>249</v>
      </c>
      <c r="F57" s="81" t="s">
        <v>247</v>
      </c>
      <c r="G57" s="81" t="s">
        <v>248</v>
      </c>
      <c r="H57" s="81" t="s">
        <v>250</v>
      </c>
      <c r="I57" s="82" t="s">
        <v>246</v>
      </c>
    </row>
    <row r="58" spans="2:9" x14ac:dyDescent="0.3">
      <c r="B58" s="139"/>
      <c r="C58" s="33" t="s">
        <v>41</v>
      </c>
      <c r="D58" s="33">
        <f>SUMIFS('Cursuri AW Next'!$H:$H,'Cursuri AW Next'!$B:$B,Costuri!C58)</f>
        <v>5</v>
      </c>
      <c r="E58" s="113">
        <f>SUMIFS('Cursuri AW Next'!$N:$N,'Cursuri AW Next'!$B:$B,Costuri!C58)</f>
        <v>6698</v>
      </c>
      <c r="F58" s="113">
        <f>SUMIFS('Cursuri AW Next'!$O:$O,'Cursuri AW Next'!$B:$B,Costuri!C58)</f>
        <v>172.5</v>
      </c>
      <c r="G58" s="113">
        <f>SUMIFS('Cursuri AW Next'!$P:$P,'Cursuri AW Next'!$B:$B,Costuri!C58)</f>
        <v>0</v>
      </c>
      <c r="H58" s="113">
        <f>SUMIFS('Cursuri AW Next'!$Q:$Q,'Cursuri AW Next'!$B:$B,Costuri!C58)+SUMIFS('Cursuri AW Next'!$R:$R,'Cursuri AW Next'!$B:$B,Costuri!C58)</f>
        <v>716</v>
      </c>
      <c r="I58" s="113">
        <f>SUMIFS('Cursuri AW Next'!$S:$S,'Cursuri AW Next'!$B:$B,Costuri!C58)</f>
        <v>7586.5</v>
      </c>
    </row>
    <row r="59" spans="2:9" x14ac:dyDescent="0.3">
      <c r="B59" s="139"/>
      <c r="C59" s="33" t="s">
        <v>42</v>
      </c>
      <c r="D59" s="33">
        <f>SUMIFS('Cursuri AW Next'!$H:$H,'Cursuri AW Next'!$B:$B,Costuri!C59)</f>
        <v>0</v>
      </c>
      <c r="E59" s="113">
        <f>SUMIFS('Cursuri AW Next'!$N:$N,'Cursuri AW Next'!$B:$B,Costuri!C59)</f>
        <v>0</v>
      </c>
      <c r="F59" s="113">
        <f>SUMIFS('Cursuri AW Next'!$O:$O,'Cursuri AW Next'!$B:$B,Costuri!C59)</f>
        <v>0</v>
      </c>
      <c r="G59" s="113">
        <f>SUMIFS('Cursuri AW Next'!$P:$P,'Cursuri AW Next'!$B:$B,Costuri!C59)</f>
        <v>0</v>
      </c>
      <c r="H59" s="113">
        <f>SUMIFS('Cursuri AW Next'!$Q:$Q,'Cursuri AW Next'!$B:$B,Costuri!C59)+SUMIFS('Cursuri AW Next'!$R:$R,'Cursuri AW Next'!$B:$B,Costuri!C59)</f>
        <v>0</v>
      </c>
      <c r="I59" s="113">
        <f>SUMIFS('Cursuri AW Next'!$S:$S,'Cursuri AW Next'!$B:$B,Costuri!C59)</f>
        <v>0</v>
      </c>
    </row>
    <row r="60" spans="2:9" ht="15" thickBot="1" x14ac:dyDescent="0.35">
      <c r="B60" s="139"/>
      <c r="C60" s="51" t="s">
        <v>43</v>
      </c>
      <c r="D60" s="51">
        <f>SUMIFS('Cursuri AW Next'!$H:$H,'Cursuri AW Next'!$B:$B,Costuri!C60)</f>
        <v>0</v>
      </c>
      <c r="E60" s="114">
        <f>SUMIFS('Cursuri AW Next'!$N:$N,'Cursuri AW Next'!$B:$B,Costuri!C60)</f>
        <v>0</v>
      </c>
      <c r="F60" s="114">
        <f>SUMIFS('Cursuri AW Next'!$O:$O,'Cursuri AW Next'!$B:$B,Costuri!C60)</f>
        <v>0</v>
      </c>
      <c r="G60" s="114">
        <f>SUMIFS('Cursuri AW Next'!$P:$P,'Cursuri AW Next'!$B:$B,Costuri!C60)</f>
        <v>0</v>
      </c>
      <c r="H60" s="114">
        <f>SUMIFS('Cursuri AW Next'!$Q:$Q,'Cursuri AW Next'!$B:$B,Costuri!C60)+SUMIFS('Cursuri AW Next'!$R:$R,'Cursuri AW Next'!$B:$B,Costuri!C60)</f>
        <v>0</v>
      </c>
      <c r="I60" s="114">
        <f>SUMIFS('Cursuri AW Next'!$S:$S,'Cursuri AW Next'!$B:$B,Costuri!C60)</f>
        <v>0</v>
      </c>
    </row>
    <row r="61" spans="2:9" x14ac:dyDescent="0.3">
      <c r="B61" s="140"/>
      <c r="C61" s="50" t="s">
        <v>51</v>
      </c>
      <c r="D61" s="50">
        <f>SUM(D58:D60)</f>
        <v>5</v>
      </c>
      <c r="E61" s="115">
        <f t="shared" ref="E61:H61" si="15">SUM(E58:E60)</f>
        <v>6698</v>
      </c>
      <c r="F61" s="115">
        <f t="shared" si="15"/>
        <v>172.5</v>
      </c>
      <c r="G61" s="115">
        <f t="shared" si="15"/>
        <v>0</v>
      </c>
      <c r="H61" s="115">
        <f t="shared" si="15"/>
        <v>716</v>
      </c>
      <c r="I61" s="115">
        <f>SUM(I58:I60)</f>
        <v>7586.5</v>
      </c>
    </row>
    <row r="63" spans="2:9" ht="28.8" x14ac:dyDescent="0.3">
      <c r="B63" s="141" t="s">
        <v>44</v>
      </c>
      <c r="C63" s="83" t="s">
        <v>1</v>
      </c>
      <c r="D63" s="83" t="s">
        <v>19</v>
      </c>
      <c r="E63" s="83" t="s">
        <v>249</v>
      </c>
      <c r="F63" s="83" t="s">
        <v>247</v>
      </c>
      <c r="G63" s="83" t="s">
        <v>248</v>
      </c>
      <c r="H63" s="83" t="s">
        <v>250</v>
      </c>
      <c r="I63" s="84" t="s">
        <v>246</v>
      </c>
    </row>
    <row r="64" spans="2:9" x14ac:dyDescent="0.3">
      <c r="B64" s="142"/>
      <c r="C64" s="28" t="s">
        <v>45</v>
      </c>
      <c r="D64" s="28">
        <f>SUMIFS('Cursuri AW One'!$H:$H,'Cursuri AW One'!$B:$B,Costuri!C64)</f>
        <v>21</v>
      </c>
      <c r="E64" s="116">
        <f>SUMIFS('Cursuri AW One'!$N:$N,'Cursuri AW One'!$B:$B,Costuri!C64)</f>
        <v>0</v>
      </c>
      <c r="F64" s="116">
        <f>SUMIFS('Cursuri AW One'!$O:$O,'Cursuri AW One'!$B:$B,Costuri!C64)</f>
        <v>1092.5</v>
      </c>
      <c r="G64" s="116">
        <f>SUMIFS('Cursuri AW One'!$P:$P,'Cursuri AW One'!$B:$B,Costuri!C64)</f>
        <v>1200</v>
      </c>
      <c r="H64" s="116">
        <f>SUMIFS('Cursuri AW One'!$Q:$Q,'Cursuri AW One'!$B:$B,Costuri!C64)+SUMIFS('Cursuri AW One'!$R:$R,'Cursuri AW One'!$B:$B,Costuri!C64)</f>
        <v>300</v>
      </c>
      <c r="I64" s="116">
        <f>SUMIFS('Cursuri AW One'!$S:$S,'Cursuri AW One'!$B:$B,Costuri!C64)</f>
        <v>2592.5</v>
      </c>
    </row>
    <row r="65" spans="2:9" x14ac:dyDescent="0.3">
      <c r="B65" s="142"/>
      <c r="C65" s="28" t="s">
        <v>46</v>
      </c>
      <c r="D65" s="28">
        <f>SUMIFS('Cursuri AW One'!$H:$H,'Cursuri AW One'!$B:$B,Costuri!C65)</f>
        <v>7</v>
      </c>
      <c r="E65" s="116">
        <f>SUMIFS('Cursuri AW One'!$N:$N,'Cursuri AW One'!$B:$B,Costuri!C65)</f>
        <v>0</v>
      </c>
      <c r="F65" s="116">
        <f>SUMIFS('Cursuri AW One'!$O:$O,'Cursuri AW One'!$B:$B,Costuri!C65)</f>
        <v>402.5</v>
      </c>
      <c r="G65" s="116">
        <f>SUMIFS('Cursuri AW One'!$P:$P,'Cursuri AW One'!$B:$B,Costuri!C65)</f>
        <v>650</v>
      </c>
      <c r="H65" s="116">
        <f>SUMIFS('Cursuri AW One'!$Q:$Q,'Cursuri AW One'!$B:$B,Costuri!C65)+SUMIFS('Cursuri AW One'!$R:$R,'Cursuri AW One'!$B:$B,Costuri!C65)</f>
        <v>0</v>
      </c>
      <c r="I65" s="116">
        <f>SUMIFS('Cursuri AW One'!$S:$S,'Cursuri AW One'!$B:$B,Costuri!C65)</f>
        <v>1052.5</v>
      </c>
    </row>
    <row r="66" spans="2:9" ht="15" thickBot="1" x14ac:dyDescent="0.35">
      <c r="B66" s="142"/>
      <c r="C66" s="53" t="s">
        <v>47</v>
      </c>
      <c r="D66" s="53">
        <f>SUMIFS('Cursuri AW One'!$H:$H,'Cursuri AW One'!$B:$B,Costuri!C66)</f>
        <v>0</v>
      </c>
      <c r="E66" s="117">
        <f>SUMIFS('Cursuri AW One'!$N:$N,'Cursuri AW One'!$B:$B,Costuri!C66)</f>
        <v>0</v>
      </c>
      <c r="F66" s="117">
        <f>SUMIFS('Cursuri AW One'!$O:$O,'Cursuri AW One'!$B:$B,Costuri!C66)</f>
        <v>0</v>
      </c>
      <c r="G66" s="117">
        <f>SUMIFS('Cursuri AW One'!$P:$P,'Cursuri AW One'!$B:$B,Costuri!C66)</f>
        <v>0</v>
      </c>
      <c r="H66" s="117">
        <f>SUMIFS('Cursuri AW One'!$Q:$Q,'Cursuri AW One'!$B:$B,Costuri!C66)+SUMIFS('Cursuri AW One'!$R:$R,'Cursuri AW One'!$B:$B,Costuri!C66)</f>
        <v>0</v>
      </c>
      <c r="I66" s="117">
        <f>SUMIFS('Cursuri AW One'!$S:$S,'Cursuri AW One'!$B:$B,Costuri!C66)</f>
        <v>0</v>
      </c>
    </row>
    <row r="67" spans="2:9" x14ac:dyDescent="0.3">
      <c r="B67" s="143"/>
      <c r="C67" s="52" t="s">
        <v>51</v>
      </c>
      <c r="D67" s="52">
        <f>SUM(D64:D66)</f>
        <v>28</v>
      </c>
      <c r="E67" s="118">
        <f t="shared" ref="E67:H67" si="16">SUM(E64:E66)</f>
        <v>0</v>
      </c>
      <c r="F67" s="118">
        <f t="shared" si="16"/>
        <v>1495</v>
      </c>
      <c r="G67" s="118">
        <f t="shared" si="16"/>
        <v>1850</v>
      </c>
      <c r="H67" s="118">
        <f t="shared" si="16"/>
        <v>300</v>
      </c>
      <c r="I67" s="118">
        <f>SUM(I64:I66)</f>
        <v>3645</v>
      </c>
    </row>
    <row r="69" spans="2:9" ht="28.8" x14ac:dyDescent="0.3">
      <c r="B69" s="144" t="s">
        <v>48</v>
      </c>
      <c r="C69" s="85" t="s">
        <v>1</v>
      </c>
      <c r="D69" s="85" t="s">
        <v>19</v>
      </c>
      <c r="E69" s="85" t="s">
        <v>249</v>
      </c>
      <c r="F69" s="85" t="s">
        <v>247</v>
      </c>
      <c r="G69" s="85" t="s">
        <v>248</v>
      </c>
      <c r="H69" s="85" t="s">
        <v>250</v>
      </c>
      <c r="I69" s="86" t="s">
        <v>246</v>
      </c>
    </row>
    <row r="70" spans="2:9" ht="15" thickBot="1" x14ac:dyDescent="0.35">
      <c r="B70" s="145"/>
      <c r="C70" s="55" t="s">
        <v>50</v>
      </c>
      <c r="D70" s="55">
        <f>SUMIFS('Cursuri AW Insurance'!$H:$H,'Cursuri AW Insurance'!$B:$B,Costuri!C70)</f>
        <v>2</v>
      </c>
      <c r="E70" s="119">
        <f>SUMIFS('Cursuri AW Insurance'!$N:$N,'Cursuri AW Insurance'!$B:$B,Costuri!C70)</f>
        <v>0</v>
      </c>
      <c r="F70" s="119">
        <f>SUMIFS('Cursuri AW Insurance'!$O:$O,'Cursuri AW Insurance'!$B:$B,Costuri!C70)</f>
        <v>115</v>
      </c>
      <c r="G70" s="119">
        <f>SUMIFS('Cursuri AW Insurance'!$P:$P,'Cursuri AW Insurance'!$B:$B,Costuri!C70)</f>
        <v>0</v>
      </c>
      <c r="H70" s="119">
        <f>SUMIFS('Cursuri AW Insurance'!$Q:$Q,'Cursuri AW Insurance'!$B:$B,Costuri!C70)+SUMIFS('Cursuri AW Insurance'!$R:$R,'Cursuri AW Insurance'!$B:$B,Costuri!C70)</f>
        <v>0</v>
      </c>
      <c r="I70" s="119">
        <f>SUMIFS('Cursuri AW Insurance'!$S:$S,'Cursuri AW Insurance'!$B:$B,Costuri!C70)</f>
        <v>115</v>
      </c>
    </row>
    <row r="71" spans="2:9" x14ac:dyDescent="0.3">
      <c r="B71" s="146"/>
      <c r="C71" s="54" t="s">
        <v>51</v>
      </c>
      <c r="D71" s="54">
        <f>SUM(D70:D70)</f>
        <v>2</v>
      </c>
      <c r="E71" s="120">
        <f t="shared" ref="E71:H71" si="17">SUM(E70:E70)</f>
        <v>0</v>
      </c>
      <c r="F71" s="120">
        <f t="shared" si="17"/>
        <v>115</v>
      </c>
      <c r="G71" s="120">
        <f t="shared" si="17"/>
        <v>0</v>
      </c>
      <c r="H71" s="120">
        <f t="shared" si="17"/>
        <v>0</v>
      </c>
      <c r="I71" s="120">
        <f>SUM(I70:I70)</f>
        <v>115</v>
      </c>
    </row>
  </sheetData>
  <mergeCells count="9">
    <mergeCell ref="C2:I2"/>
    <mergeCell ref="B48:B55"/>
    <mergeCell ref="B57:B61"/>
    <mergeCell ref="B63:B67"/>
    <mergeCell ref="B69:B71"/>
    <mergeCell ref="B41:B46"/>
    <mergeCell ref="B15:B27"/>
    <mergeCell ref="B29:B33"/>
    <mergeCell ref="B35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U538"/>
  <sheetViews>
    <sheetView topLeftCell="C1" workbookViewId="0">
      <pane ySplit="1" topLeftCell="A38" activePane="bottomLeft" state="frozen"/>
      <selection activeCell="C1" sqref="C1"/>
      <selection pane="bottomLeft" activeCell="I61" sqref="I61"/>
    </sheetView>
  </sheetViews>
  <sheetFormatPr defaultColWidth="8.88671875" defaultRowHeight="14.4" x14ac:dyDescent="0.3"/>
  <cols>
    <col min="1" max="1" width="23.6640625" style="2" customWidth="1"/>
    <col min="2" max="2" width="17.33203125" style="2" customWidth="1"/>
    <col min="3" max="3" width="31.6640625" style="58" customWidth="1"/>
    <col min="4" max="4" width="13.44140625" style="58" customWidth="1"/>
    <col min="5" max="5" width="14.33203125" style="64" customWidth="1"/>
    <col min="6" max="6" width="12.109375" style="64" customWidth="1"/>
    <col min="7" max="7" width="11.44140625" style="64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8.6640625" style="2" customWidth="1"/>
    <col min="18" max="18" width="8.88671875" style="2"/>
    <col min="19" max="19" width="8.88671875" style="5"/>
    <col min="20" max="16384" width="8.88671875" style="2"/>
  </cols>
  <sheetData>
    <row r="1" spans="1:2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7"/>
      <c r="U1" s="1"/>
    </row>
    <row r="2" spans="1:21" x14ac:dyDescent="0.3">
      <c r="A2" s="36" t="s">
        <v>52</v>
      </c>
      <c r="B2" s="36" t="s">
        <v>20</v>
      </c>
      <c r="C2" s="123" t="s">
        <v>53</v>
      </c>
      <c r="D2" s="123"/>
      <c r="E2" s="125">
        <v>45674</v>
      </c>
      <c r="F2" s="125">
        <v>45674</v>
      </c>
      <c r="G2" s="125">
        <v>45674</v>
      </c>
      <c r="H2" s="36">
        <v>1</v>
      </c>
      <c r="I2" s="36" t="s">
        <v>54</v>
      </c>
      <c r="J2" s="36" t="s">
        <v>55</v>
      </c>
      <c r="K2" s="36"/>
      <c r="L2" s="36">
        <v>77</v>
      </c>
      <c r="M2" s="36"/>
      <c r="N2" s="36"/>
      <c r="O2" s="36">
        <v>57.5</v>
      </c>
      <c r="P2" s="36"/>
      <c r="Q2" s="36"/>
      <c r="R2" s="36">
        <v>100</v>
      </c>
      <c r="S2" s="5">
        <f>SUM(N2:R2)</f>
        <v>157.5</v>
      </c>
    </row>
    <row r="3" spans="1:21" x14ac:dyDescent="0.3">
      <c r="A3" s="36" t="s">
        <v>56</v>
      </c>
      <c r="B3" s="36" t="s">
        <v>20</v>
      </c>
      <c r="C3" s="123" t="s">
        <v>53</v>
      </c>
      <c r="D3" s="123"/>
      <c r="E3" s="125">
        <v>45674</v>
      </c>
      <c r="F3" s="125">
        <v>45674</v>
      </c>
      <c r="G3" s="125">
        <v>45674</v>
      </c>
      <c r="H3" s="36">
        <v>1</v>
      </c>
      <c r="I3" s="36" t="s">
        <v>54</v>
      </c>
      <c r="J3" s="36" t="s">
        <v>55</v>
      </c>
      <c r="K3" s="36"/>
      <c r="L3" s="36">
        <v>78</v>
      </c>
      <c r="M3" s="36"/>
      <c r="N3" s="36"/>
      <c r="O3" s="36">
        <v>57.5</v>
      </c>
      <c r="P3" s="36"/>
      <c r="Q3" s="36"/>
      <c r="R3" s="36">
        <v>100</v>
      </c>
      <c r="S3" s="5">
        <f t="shared" ref="S3:S46" si="0">SUM(N3:R3)</f>
        <v>157.5</v>
      </c>
    </row>
    <row r="4" spans="1:21" x14ac:dyDescent="0.3">
      <c r="A4" s="36" t="s">
        <v>57</v>
      </c>
      <c r="B4" s="36" t="s">
        <v>20</v>
      </c>
      <c r="C4" s="123" t="s">
        <v>53</v>
      </c>
      <c r="D4" s="123"/>
      <c r="E4" s="125">
        <v>45674</v>
      </c>
      <c r="F4" s="125">
        <v>45674</v>
      </c>
      <c r="G4" s="125">
        <v>45674</v>
      </c>
      <c r="H4" s="36">
        <v>1</v>
      </c>
      <c r="I4" s="36" t="s">
        <v>54</v>
      </c>
      <c r="J4" s="36" t="s">
        <v>55</v>
      </c>
      <c r="K4" s="36"/>
      <c r="L4" s="36">
        <v>79</v>
      </c>
      <c r="M4" s="36"/>
      <c r="N4" s="36"/>
      <c r="O4" s="36">
        <v>57.5</v>
      </c>
      <c r="P4" s="36"/>
      <c r="Q4" s="36"/>
      <c r="R4" s="36">
        <v>100</v>
      </c>
      <c r="S4" s="5">
        <f t="shared" si="0"/>
        <v>157.5</v>
      </c>
    </row>
    <row r="5" spans="1:21" x14ac:dyDescent="0.3">
      <c r="A5" s="63" t="s">
        <v>58</v>
      </c>
      <c r="B5" s="63" t="s">
        <v>22</v>
      </c>
      <c r="C5" s="58" t="s">
        <v>59</v>
      </c>
      <c r="E5" s="64" t="s">
        <v>60</v>
      </c>
      <c r="F5" s="65">
        <v>45672</v>
      </c>
      <c r="G5" s="65">
        <v>45673</v>
      </c>
      <c r="H5" s="64">
        <v>2</v>
      </c>
      <c r="I5" s="63" t="s">
        <v>54</v>
      </c>
      <c r="J5" s="63" t="s">
        <v>55</v>
      </c>
      <c r="K5" s="58"/>
      <c r="L5" s="64">
        <v>96</v>
      </c>
      <c r="M5" s="58"/>
      <c r="N5" s="58"/>
      <c r="O5" s="64">
        <v>115</v>
      </c>
      <c r="P5" s="64">
        <v>470</v>
      </c>
      <c r="Q5" s="64">
        <v>870</v>
      </c>
      <c r="R5" s="64">
        <v>150</v>
      </c>
      <c r="S5" s="5">
        <f t="shared" si="0"/>
        <v>1605</v>
      </c>
    </row>
    <row r="6" spans="1:21" ht="28.8" x14ac:dyDescent="0.3">
      <c r="A6" s="63" t="s">
        <v>61</v>
      </c>
      <c r="B6" s="63" t="s">
        <v>25</v>
      </c>
      <c r="C6" s="59" t="s">
        <v>62</v>
      </c>
      <c r="D6" s="58" t="s">
        <v>63</v>
      </c>
      <c r="E6" s="64" t="s">
        <v>64</v>
      </c>
      <c r="F6" s="65">
        <v>45677</v>
      </c>
      <c r="G6" s="65">
        <v>45680</v>
      </c>
      <c r="H6" s="64">
        <v>3</v>
      </c>
      <c r="I6" s="63" t="s">
        <v>54</v>
      </c>
      <c r="J6" s="63" t="s">
        <v>65</v>
      </c>
      <c r="K6" s="58"/>
      <c r="L6" s="64">
        <v>171</v>
      </c>
      <c r="M6" s="58"/>
      <c r="N6" s="58">
        <v>1508</v>
      </c>
      <c r="O6" s="64">
        <v>172.5</v>
      </c>
      <c r="P6" s="64">
        <v>216.75</v>
      </c>
      <c r="Q6" s="58"/>
      <c r="R6" s="58"/>
      <c r="S6" s="5">
        <f t="shared" si="0"/>
        <v>1897.25</v>
      </c>
    </row>
    <row r="7" spans="1:21" x14ac:dyDescent="0.3">
      <c r="A7" s="63" t="s">
        <v>69</v>
      </c>
      <c r="B7" s="63" t="s">
        <v>25</v>
      </c>
      <c r="C7" s="58" t="s">
        <v>70</v>
      </c>
      <c r="E7" s="65">
        <v>45680</v>
      </c>
      <c r="F7" s="65">
        <v>45679</v>
      </c>
      <c r="G7" s="65">
        <v>45680</v>
      </c>
      <c r="H7" s="64">
        <v>1</v>
      </c>
      <c r="I7" s="63" t="s">
        <v>54</v>
      </c>
      <c r="J7" s="63" t="s">
        <v>65</v>
      </c>
      <c r="K7" s="58"/>
      <c r="L7" s="64">
        <v>173</v>
      </c>
      <c r="M7" s="58"/>
      <c r="N7" s="58">
        <v>503</v>
      </c>
      <c r="O7" s="64">
        <v>57.5</v>
      </c>
      <c r="P7" s="58">
        <v>337</v>
      </c>
      <c r="Q7" s="58"/>
      <c r="R7" s="58"/>
      <c r="S7" s="5">
        <f t="shared" si="0"/>
        <v>897.5</v>
      </c>
    </row>
    <row r="8" spans="1:21" ht="28.8" x14ac:dyDescent="0.3">
      <c r="A8" s="36" t="s">
        <v>72</v>
      </c>
      <c r="B8" s="36" t="s">
        <v>35</v>
      </c>
      <c r="C8" s="123" t="s">
        <v>73</v>
      </c>
      <c r="D8" s="123"/>
      <c r="E8" s="124" t="s">
        <v>74</v>
      </c>
      <c r="F8" s="125">
        <v>45685</v>
      </c>
      <c r="G8" s="125">
        <v>45689</v>
      </c>
      <c r="H8" s="36">
        <v>4</v>
      </c>
      <c r="I8" s="126" t="s">
        <v>75</v>
      </c>
      <c r="J8" s="36" t="s">
        <v>65</v>
      </c>
      <c r="K8" s="36"/>
      <c r="L8" s="36"/>
      <c r="M8" s="36"/>
      <c r="N8" s="36">
        <v>1950</v>
      </c>
      <c r="O8" s="36">
        <v>700</v>
      </c>
      <c r="P8" s="36"/>
      <c r="Q8" s="36">
        <v>177</v>
      </c>
      <c r="R8" s="36"/>
      <c r="S8" s="5">
        <f t="shared" si="0"/>
        <v>2827</v>
      </c>
    </row>
    <row r="9" spans="1:21" x14ac:dyDescent="0.3">
      <c r="A9" s="36" t="s">
        <v>57</v>
      </c>
      <c r="B9" s="36" t="s">
        <v>20</v>
      </c>
      <c r="C9" s="123" t="s">
        <v>77</v>
      </c>
      <c r="D9" s="123"/>
      <c r="E9" s="125">
        <v>45686</v>
      </c>
      <c r="F9" s="125">
        <v>45686</v>
      </c>
      <c r="G9" s="125">
        <v>45686</v>
      </c>
      <c r="H9" s="36">
        <v>1</v>
      </c>
      <c r="I9" s="36" t="s">
        <v>54</v>
      </c>
      <c r="J9" s="36" t="s">
        <v>55</v>
      </c>
      <c r="K9" s="36"/>
      <c r="L9" s="36"/>
      <c r="M9" s="36"/>
      <c r="N9" s="36"/>
      <c r="O9" s="36">
        <v>57.5</v>
      </c>
      <c r="P9" s="36"/>
      <c r="Q9" s="36">
        <v>610</v>
      </c>
      <c r="R9" s="36">
        <v>100</v>
      </c>
      <c r="S9" s="5">
        <f t="shared" si="0"/>
        <v>767.5</v>
      </c>
    </row>
    <row r="10" spans="1:21" x14ac:dyDescent="0.3">
      <c r="A10" s="36" t="s">
        <v>76</v>
      </c>
      <c r="B10" s="36" t="s">
        <v>20</v>
      </c>
      <c r="C10" s="123" t="s">
        <v>77</v>
      </c>
      <c r="D10" s="123"/>
      <c r="E10" s="125">
        <v>45686</v>
      </c>
      <c r="F10" s="125">
        <v>45686</v>
      </c>
      <c r="G10" s="125">
        <v>45686</v>
      </c>
      <c r="H10" s="36">
        <v>1</v>
      </c>
      <c r="I10" s="36" t="s">
        <v>54</v>
      </c>
      <c r="J10" s="36" t="s">
        <v>55</v>
      </c>
      <c r="K10" s="36"/>
      <c r="L10" s="36"/>
      <c r="M10" s="36"/>
      <c r="N10" s="36"/>
      <c r="O10" s="36">
        <v>57.5</v>
      </c>
      <c r="P10" s="36"/>
      <c r="Q10" s="36">
        <v>610</v>
      </c>
      <c r="R10" s="36">
        <v>100</v>
      </c>
      <c r="S10" s="5">
        <f t="shared" si="0"/>
        <v>767.5</v>
      </c>
    </row>
    <row r="11" spans="1:21" x14ac:dyDescent="0.3">
      <c r="A11" s="2" t="s">
        <v>201</v>
      </c>
      <c r="B11" s="2" t="s">
        <v>21</v>
      </c>
      <c r="C11" s="58" t="s">
        <v>202</v>
      </c>
      <c r="E11" s="65">
        <v>45685</v>
      </c>
      <c r="F11" s="65">
        <v>45685</v>
      </c>
      <c r="G11" s="65">
        <v>45685</v>
      </c>
      <c r="H11" s="2">
        <v>1</v>
      </c>
      <c r="N11" s="2">
        <v>3545</v>
      </c>
      <c r="S11" s="5">
        <f t="shared" si="0"/>
        <v>3545</v>
      </c>
    </row>
    <row r="12" spans="1:21" x14ac:dyDescent="0.3">
      <c r="A12" s="2" t="s">
        <v>203</v>
      </c>
      <c r="B12" s="2" t="s">
        <v>22</v>
      </c>
      <c r="C12" s="58" t="s">
        <v>202</v>
      </c>
      <c r="E12" s="65">
        <v>45685</v>
      </c>
      <c r="F12" s="65">
        <v>45685</v>
      </c>
      <c r="G12" s="65">
        <v>45685</v>
      </c>
      <c r="H12" s="2">
        <v>1</v>
      </c>
      <c r="N12" s="2">
        <v>3545</v>
      </c>
      <c r="S12" s="5">
        <f t="shared" si="0"/>
        <v>3545</v>
      </c>
    </row>
    <row r="13" spans="1:21" x14ac:dyDescent="0.3">
      <c r="A13" s="2" t="s">
        <v>204</v>
      </c>
      <c r="B13" s="2" t="s">
        <v>30</v>
      </c>
      <c r="C13" s="58" t="s">
        <v>202</v>
      </c>
      <c r="E13" s="65">
        <v>45685</v>
      </c>
      <c r="F13" s="65">
        <v>45685</v>
      </c>
      <c r="G13" s="65">
        <v>45685</v>
      </c>
      <c r="H13" s="2">
        <v>1</v>
      </c>
      <c r="N13" s="2">
        <v>3545</v>
      </c>
      <c r="S13" s="5">
        <f t="shared" si="0"/>
        <v>3545</v>
      </c>
    </row>
    <row r="14" spans="1:21" x14ac:dyDescent="0.3">
      <c r="A14" s="2" t="s">
        <v>205</v>
      </c>
      <c r="B14" s="2" t="s">
        <v>41</v>
      </c>
      <c r="C14" s="58" t="s">
        <v>202</v>
      </c>
      <c r="E14" s="65">
        <v>45685</v>
      </c>
      <c r="F14" s="65">
        <v>45685</v>
      </c>
      <c r="G14" s="65">
        <v>45685</v>
      </c>
      <c r="H14" s="2">
        <v>1</v>
      </c>
      <c r="N14" s="2">
        <v>3545</v>
      </c>
      <c r="S14" s="5">
        <f t="shared" si="0"/>
        <v>3545</v>
      </c>
    </row>
    <row r="15" spans="1:21" x14ac:dyDescent="0.3">
      <c r="A15" s="2" t="s">
        <v>206</v>
      </c>
      <c r="B15" s="2" t="s">
        <v>43</v>
      </c>
      <c r="C15" s="58" t="s">
        <v>202</v>
      </c>
      <c r="E15" s="65">
        <v>45685</v>
      </c>
      <c r="F15" s="65">
        <v>45685</v>
      </c>
      <c r="G15" s="65">
        <v>45685</v>
      </c>
      <c r="H15" s="2">
        <v>1</v>
      </c>
      <c r="N15" s="2">
        <v>3545</v>
      </c>
      <c r="S15" s="5">
        <f t="shared" si="0"/>
        <v>3545</v>
      </c>
    </row>
    <row r="16" spans="1:21" x14ac:dyDescent="0.3">
      <c r="A16" s="2" t="s">
        <v>207</v>
      </c>
      <c r="B16" s="2" t="s">
        <v>34</v>
      </c>
      <c r="C16" s="58" t="s">
        <v>202</v>
      </c>
      <c r="E16" s="65">
        <v>45685</v>
      </c>
      <c r="F16" s="65">
        <v>45685</v>
      </c>
      <c r="G16" s="65">
        <v>45685</v>
      </c>
      <c r="H16" s="2">
        <v>1</v>
      </c>
      <c r="N16" s="2">
        <v>3545</v>
      </c>
      <c r="S16" s="5">
        <f t="shared" si="0"/>
        <v>3545</v>
      </c>
    </row>
    <row r="17" spans="1:19" x14ac:dyDescent="0.3">
      <c r="A17" s="2" t="s">
        <v>208</v>
      </c>
      <c r="B17" s="2" t="s">
        <v>20</v>
      </c>
      <c r="C17" s="58" t="s">
        <v>202</v>
      </c>
      <c r="E17" s="65">
        <v>45685</v>
      </c>
      <c r="F17" s="65">
        <v>45685</v>
      </c>
      <c r="G17" s="65">
        <v>45685</v>
      </c>
      <c r="H17" s="2">
        <v>1</v>
      </c>
      <c r="N17" s="2">
        <v>3545</v>
      </c>
      <c r="S17" s="5">
        <f t="shared" si="0"/>
        <v>3545</v>
      </c>
    </row>
    <row r="18" spans="1:19" ht="28.8" x14ac:dyDescent="0.3">
      <c r="A18" s="2" t="s">
        <v>66</v>
      </c>
      <c r="B18" s="1" t="s">
        <v>28</v>
      </c>
      <c r="C18" s="59" t="s">
        <v>62</v>
      </c>
      <c r="D18" s="58" t="s">
        <v>63</v>
      </c>
      <c r="E18" s="64" t="s">
        <v>64</v>
      </c>
      <c r="F18" s="65">
        <v>45677</v>
      </c>
      <c r="G18" s="65">
        <v>45680</v>
      </c>
      <c r="H18" s="2">
        <v>3</v>
      </c>
      <c r="I18" s="2" t="s">
        <v>54</v>
      </c>
      <c r="J18" s="2" t="s">
        <v>65</v>
      </c>
      <c r="N18" s="2">
        <v>1508</v>
      </c>
      <c r="O18" s="2">
        <v>172.5</v>
      </c>
      <c r="P18" s="2">
        <v>1176</v>
      </c>
      <c r="S18" s="5">
        <f t="shared" si="0"/>
        <v>2856.5</v>
      </c>
    </row>
    <row r="19" spans="1:19" x14ac:dyDescent="0.3">
      <c r="A19" s="2" t="s">
        <v>210</v>
      </c>
      <c r="B19" s="1" t="s">
        <v>20</v>
      </c>
      <c r="C19" s="59" t="s">
        <v>209</v>
      </c>
      <c r="E19" s="65">
        <v>45695</v>
      </c>
      <c r="F19" s="65">
        <v>45695</v>
      </c>
      <c r="G19" s="65">
        <v>45695</v>
      </c>
      <c r="H19" s="2">
        <v>1</v>
      </c>
      <c r="N19" s="2">
        <v>1092</v>
      </c>
      <c r="S19" s="5">
        <f t="shared" si="0"/>
        <v>1092</v>
      </c>
    </row>
    <row r="20" spans="1:19" x14ac:dyDescent="0.3">
      <c r="A20" s="2" t="s">
        <v>76</v>
      </c>
      <c r="B20" s="1" t="s">
        <v>20</v>
      </c>
      <c r="C20" s="59" t="s">
        <v>197</v>
      </c>
      <c r="E20" s="65">
        <v>45701</v>
      </c>
      <c r="F20" s="65">
        <v>45701</v>
      </c>
      <c r="G20" s="65">
        <v>45701</v>
      </c>
      <c r="H20" s="2">
        <v>1</v>
      </c>
      <c r="I20" s="2" t="s">
        <v>54</v>
      </c>
      <c r="J20" s="2" t="s">
        <v>55</v>
      </c>
      <c r="O20" s="2">
        <v>57.5</v>
      </c>
      <c r="P20" s="2">
        <v>367</v>
      </c>
      <c r="Q20" s="2">
        <v>546</v>
      </c>
      <c r="S20" s="5">
        <f t="shared" si="0"/>
        <v>970.5</v>
      </c>
    </row>
    <row r="21" spans="1:19" x14ac:dyDescent="0.3">
      <c r="A21" s="2" t="s">
        <v>211</v>
      </c>
      <c r="B21" s="1" t="s">
        <v>23</v>
      </c>
      <c r="C21" s="59" t="s">
        <v>202</v>
      </c>
      <c r="E21" s="65">
        <v>45705</v>
      </c>
      <c r="F21" s="65">
        <v>45705</v>
      </c>
      <c r="G21" s="65">
        <v>45705</v>
      </c>
      <c r="H21" s="2">
        <v>1</v>
      </c>
      <c r="N21" s="2">
        <v>3017</v>
      </c>
      <c r="S21" s="5">
        <f t="shared" si="0"/>
        <v>3017</v>
      </c>
    </row>
    <row r="22" spans="1:19" x14ac:dyDescent="0.3">
      <c r="A22" s="2" t="s">
        <v>208</v>
      </c>
      <c r="B22" s="1" t="s">
        <v>20</v>
      </c>
      <c r="C22" s="59" t="s">
        <v>202</v>
      </c>
      <c r="E22" s="65">
        <v>45705</v>
      </c>
      <c r="F22" s="65">
        <v>45705</v>
      </c>
      <c r="G22" s="65">
        <v>45705</v>
      </c>
      <c r="H22" s="2">
        <v>1</v>
      </c>
      <c r="N22" s="2">
        <v>3017</v>
      </c>
      <c r="S22" s="5">
        <f t="shared" si="0"/>
        <v>3017</v>
      </c>
    </row>
    <row r="23" spans="1:19" ht="28.8" x14ac:dyDescent="0.3">
      <c r="A23" s="36" t="s">
        <v>78</v>
      </c>
      <c r="B23" s="36" t="s">
        <v>35</v>
      </c>
      <c r="C23" s="122" t="s">
        <v>79</v>
      </c>
      <c r="D23" s="123"/>
      <c r="E23" s="124" t="s">
        <v>329</v>
      </c>
      <c r="F23" s="125">
        <v>45683</v>
      </c>
      <c r="G23" s="125">
        <v>45688</v>
      </c>
      <c r="H23" s="36">
        <v>5</v>
      </c>
      <c r="I23" s="36" t="s">
        <v>54</v>
      </c>
      <c r="J23" s="36" t="s">
        <v>65</v>
      </c>
      <c r="K23" s="36"/>
      <c r="L23" s="36"/>
      <c r="M23" s="36"/>
      <c r="N23" s="36"/>
      <c r="O23" s="36">
        <v>287.5</v>
      </c>
      <c r="P23" s="36">
        <v>1037</v>
      </c>
      <c r="Q23" s="36"/>
      <c r="R23" s="36"/>
      <c r="S23" s="5">
        <f t="shared" si="0"/>
        <v>1324.5</v>
      </c>
    </row>
    <row r="24" spans="1:19" x14ac:dyDescent="0.3">
      <c r="B24" s="2" t="s">
        <v>20</v>
      </c>
      <c r="C24" s="127" t="s">
        <v>202</v>
      </c>
      <c r="D24" s="128"/>
      <c r="E24" s="129">
        <v>45743</v>
      </c>
      <c r="F24" s="129">
        <v>45743</v>
      </c>
      <c r="G24" s="129">
        <v>45743</v>
      </c>
      <c r="H24" s="130">
        <v>1</v>
      </c>
      <c r="I24" s="130"/>
      <c r="N24" s="2">
        <v>7092</v>
      </c>
      <c r="S24" s="5">
        <f t="shared" si="0"/>
        <v>7092</v>
      </c>
    </row>
    <row r="25" spans="1:19" x14ac:dyDescent="0.3">
      <c r="A25" s="2" t="s">
        <v>52</v>
      </c>
      <c r="B25" s="2" t="s">
        <v>20</v>
      </c>
      <c r="C25" s="59" t="s">
        <v>112</v>
      </c>
      <c r="E25" s="64" t="s">
        <v>113</v>
      </c>
      <c r="F25" s="65">
        <v>45733</v>
      </c>
      <c r="G25" s="65">
        <v>45734</v>
      </c>
      <c r="I25" s="2" t="s">
        <v>54</v>
      </c>
      <c r="J25" s="2" t="s">
        <v>55</v>
      </c>
      <c r="O25" s="2">
        <v>261</v>
      </c>
      <c r="Q25" s="2">
        <v>616</v>
      </c>
      <c r="R25" s="2">
        <v>100</v>
      </c>
      <c r="S25" s="5">
        <f t="shared" si="0"/>
        <v>977</v>
      </c>
    </row>
    <row r="26" spans="1:19" x14ac:dyDescent="0.3">
      <c r="A26" s="2" t="s">
        <v>76</v>
      </c>
      <c r="B26" s="2" t="s">
        <v>20</v>
      </c>
      <c r="C26" s="58" t="s">
        <v>59</v>
      </c>
      <c r="E26" s="65">
        <v>45742</v>
      </c>
      <c r="F26" s="65">
        <v>45742</v>
      </c>
      <c r="G26" s="65">
        <v>45742</v>
      </c>
      <c r="H26" s="2">
        <v>1</v>
      </c>
      <c r="I26" s="2" t="s">
        <v>54</v>
      </c>
      <c r="J26" s="2" t="s">
        <v>55</v>
      </c>
      <c r="O26" s="2">
        <v>57.5</v>
      </c>
      <c r="Q26" s="2">
        <v>934</v>
      </c>
      <c r="S26" s="5">
        <f t="shared" si="0"/>
        <v>991.5</v>
      </c>
    </row>
    <row r="27" spans="1:19" ht="28.8" x14ac:dyDescent="0.3">
      <c r="B27" s="2" t="s">
        <v>20</v>
      </c>
      <c r="C27" s="59" t="s">
        <v>212</v>
      </c>
      <c r="E27" s="65">
        <v>45747</v>
      </c>
      <c r="F27" s="65">
        <v>45747</v>
      </c>
      <c r="G27" s="65">
        <v>45747</v>
      </c>
      <c r="H27" s="2">
        <v>3</v>
      </c>
      <c r="I27" s="2" t="s">
        <v>213</v>
      </c>
      <c r="N27" s="2">
        <v>100862</v>
      </c>
      <c r="S27" s="5">
        <f t="shared" si="0"/>
        <v>100862</v>
      </c>
    </row>
    <row r="28" spans="1:19" x14ac:dyDescent="0.3">
      <c r="A28" s="2" t="s">
        <v>57</v>
      </c>
      <c r="B28" s="2" t="s">
        <v>20</v>
      </c>
      <c r="C28" s="58" t="s">
        <v>139</v>
      </c>
      <c r="E28" s="65">
        <v>45697</v>
      </c>
      <c r="F28" s="65">
        <v>45697</v>
      </c>
      <c r="G28" s="65">
        <v>45697</v>
      </c>
      <c r="H28" s="2">
        <v>1</v>
      </c>
      <c r="I28" s="2" t="s">
        <v>54</v>
      </c>
      <c r="J28" s="2" t="s">
        <v>55</v>
      </c>
      <c r="O28" s="2">
        <v>57.5</v>
      </c>
      <c r="R28" s="2">
        <v>100</v>
      </c>
      <c r="S28" s="5">
        <f t="shared" si="0"/>
        <v>157.5</v>
      </c>
    </row>
    <row r="29" spans="1:19" x14ac:dyDescent="0.3">
      <c r="A29" s="130" t="s">
        <v>210</v>
      </c>
      <c r="B29" s="130" t="s">
        <v>20</v>
      </c>
      <c r="C29" s="128" t="s">
        <v>209</v>
      </c>
      <c r="D29" s="128"/>
      <c r="E29" s="129">
        <v>45742</v>
      </c>
      <c r="F29" s="129">
        <v>45742</v>
      </c>
      <c r="G29" s="129">
        <v>45742</v>
      </c>
      <c r="H29" s="130">
        <v>1</v>
      </c>
      <c r="I29" s="130"/>
      <c r="J29" s="130"/>
      <c r="K29" s="130"/>
      <c r="L29" s="130"/>
      <c r="M29" s="130"/>
      <c r="N29" s="130">
        <v>1539</v>
      </c>
      <c r="S29" s="5">
        <f t="shared" si="0"/>
        <v>1539</v>
      </c>
    </row>
    <row r="30" spans="1:19" x14ac:dyDescent="0.3">
      <c r="A30" s="2" t="s">
        <v>56</v>
      </c>
      <c r="B30" s="2" t="s">
        <v>20</v>
      </c>
      <c r="C30" s="58" t="s">
        <v>162</v>
      </c>
      <c r="E30" s="64" t="s">
        <v>163</v>
      </c>
      <c r="F30" s="65">
        <v>45793</v>
      </c>
      <c r="G30" s="65">
        <v>45795</v>
      </c>
      <c r="H30" s="2">
        <v>2</v>
      </c>
      <c r="I30" s="2" t="s">
        <v>54</v>
      </c>
      <c r="J30" s="2" t="s">
        <v>55</v>
      </c>
      <c r="O30" s="2">
        <v>115</v>
      </c>
      <c r="P30" s="2">
        <v>1293</v>
      </c>
      <c r="Q30" s="2">
        <v>708</v>
      </c>
      <c r="S30" s="5">
        <f t="shared" si="0"/>
        <v>2116</v>
      </c>
    </row>
    <row r="31" spans="1:19" ht="28.8" x14ac:dyDescent="0.3">
      <c r="A31" s="2" t="s">
        <v>57</v>
      </c>
      <c r="B31" s="2" t="s">
        <v>20</v>
      </c>
      <c r="C31" s="58" t="s">
        <v>164</v>
      </c>
      <c r="E31" s="66" t="s">
        <v>165</v>
      </c>
      <c r="F31" s="65">
        <v>45806</v>
      </c>
      <c r="G31" s="65">
        <v>45810</v>
      </c>
      <c r="H31" s="2">
        <v>4</v>
      </c>
      <c r="I31" s="2" t="s">
        <v>166</v>
      </c>
      <c r="J31" s="2" t="s">
        <v>55</v>
      </c>
      <c r="O31" s="2">
        <v>588.5</v>
      </c>
      <c r="R31" s="2">
        <v>150</v>
      </c>
      <c r="S31" s="5">
        <f t="shared" si="0"/>
        <v>738.5</v>
      </c>
    </row>
    <row r="32" spans="1:19" x14ac:dyDescent="0.3">
      <c r="A32" s="2" t="s">
        <v>198</v>
      </c>
      <c r="B32" s="2" t="s">
        <v>21</v>
      </c>
      <c r="C32" s="58" t="s">
        <v>199</v>
      </c>
      <c r="E32" s="64" t="s">
        <v>255</v>
      </c>
      <c r="F32" s="65">
        <v>45824</v>
      </c>
      <c r="G32" s="65">
        <v>45825</v>
      </c>
      <c r="H32" s="2">
        <v>2</v>
      </c>
      <c r="I32" s="2" t="s">
        <v>54</v>
      </c>
      <c r="J32" s="2" t="s">
        <v>55</v>
      </c>
      <c r="O32" s="2">
        <v>120</v>
      </c>
      <c r="S32" s="5">
        <f t="shared" si="0"/>
        <v>120</v>
      </c>
    </row>
    <row r="33" spans="1:19" x14ac:dyDescent="0.3">
      <c r="A33" s="2" t="s">
        <v>200</v>
      </c>
      <c r="B33" s="2" t="s">
        <v>22</v>
      </c>
      <c r="C33" s="58" t="s">
        <v>199</v>
      </c>
      <c r="E33" s="64" t="s">
        <v>255</v>
      </c>
      <c r="F33" s="65">
        <v>45824</v>
      </c>
      <c r="G33" s="65">
        <v>45825</v>
      </c>
      <c r="H33" s="2">
        <v>2</v>
      </c>
      <c r="I33" s="2" t="s">
        <v>54</v>
      </c>
      <c r="J33" s="2" t="s">
        <v>55</v>
      </c>
      <c r="O33" s="2">
        <v>120</v>
      </c>
      <c r="S33" s="5">
        <f t="shared" si="0"/>
        <v>120</v>
      </c>
    </row>
    <row r="34" spans="1:19" x14ac:dyDescent="0.3">
      <c r="A34" s="2" t="s">
        <v>76</v>
      </c>
      <c r="B34" s="2" t="s">
        <v>20</v>
      </c>
      <c r="C34" s="58" t="s">
        <v>197</v>
      </c>
      <c r="I34" s="2" t="s">
        <v>54</v>
      </c>
      <c r="J34" s="2" t="s">
        <v>55</v>
      </c>
      <c r="O34" s="2">
        <v>57.5</v>
      </c>
      <c r="Q34" s="2">
        <v>1840</v>
      </c>
      <c r="S34" s="5">
        <f t="shared" si="0"/>
        <v>1897.5</v>
      </c>
    </row>
    <row r="35" spans="1:19" x14ac:dyDescent="0.3">
      <c r="A35" s="2" t="s">
        <v>210</v>
      </c>
      <c r="B35" s="2" t="s">
        <v>20</v>
      </c>
      <c r="C35" s="58" t="s">
        <v>209</v>
      </c>
      <c r="E35" s="65">
        <v>45793</v>
      </c>
      <c r="F35" s="65">
        <v>45793</v>
      </c>
      <c r="G35" s="65">
        <v>45793</v>
      </c>
      <c r="H35" s="2">
        <v>1</v>
      </c>
      <c r="N35" s="2">
        <v>1154</v>
      </c>
      <c r="S35" s="5">
        <f t="shared" si="0"/>
        <v>1154</v>
      </c>
    </row>
    <row r="36" spans="1:19" x14ac:dyDescent="0.3">
      <c r="A36" s="2" t="s">
        <v>76</v>
      </c>
      <c r="B36" s="2" t="s">
        <v>20</v>
      </c>
      <c r="C36" s="58" t="s">
        <v>59</v>
      </c>
      <c r="E36" s="65">
        <v>45845</v>
      </c>
      <c r="F36" s="65">
        <v>45845</v>
      </c>
      <c r="G36" s="65">
        <v>45845</v>
      </c>
      <c r="H36" s="2">
        <v>1</v>
      </c>
      <c r="J36" s="2" t="s">
        <v>55</v>
      </c>
      <c r="O36" s="2">
        <v>57.5</v>
      </c>
      <c r="S36" s="5">
        <f t="shared" si="0"/>
        <v>57.5</v>
      </c>
    </row>
    <row r="37" spans="1:19" x14ac:dyDescent="0.3">
      <c r="A37" s="2" t="s">
        <v>76</v>
      </c>
      <c r="B37" s="2" t="s">
        <v>20</v>
      </c>
      <c r="C37" s="58" t="s">
        <v>256</v>
      </c>
      <c r="E37" s="64" t="s">
        <v>257</v>
      </c>
      <c r="F37" s="65">
        <v>45887</v>
      </c>
      <c r="G37" s="65">
        <v>45890</v>
      </c>
      <c r="H37" s="2">
        <v>4</v>
      </c>
      <c r="J37" s="2" t="s">
        <v>55</v>
      </c>
      <c r="O37" s="2">
        <v>700</v>
      </c>
      <c r="S37" s="5">
        <f t="shared" si="0"/>
        <v>700</v>
      </c>
    </row>
    <row r="38" spans="1:19" x14ac:dyDescent="0.3">
      <c r="A38" s="2" t="s">
        <v>52</v>
      </c>
      <c r="B38" s="2" t="s">
        <v>20</v>
      </c>
      <c r="C38" s="58" t="s">
        <v>256</v>
      </c>
      <c r="E38" s="64" t="s">
        <v>257</v>
      </c>
      <c r="F38" s="65">
        <v>45887</v>
      </c>
      <c r="G38" s="65">
        <v>45890</v>
      </c>
      <c r="H38" s="2">
        <v>4</v>
      </c>
      <c r="J38" s="2" t="s">
        <v>55</v>
      </c>
      <c r="O38" s="2">
        <v>700</v>
      </c>
      <c r="S38" s="5">
        <f t="shared" si="0"/>
        <v>700</v>
      </c>
    </row>
    <row r="39" spans="1:19" x14ac:dyDescent="0.3">
      <c r="A39" s="2" t="s">
        <v>76</v>
      </c>
      <c r="B39" s="2" t="s">
        <v>20</v>
      </c>
      <c r="C39" s="58" t="s">
        <v>258</v>
      </c>
      <c r="E39" s="65">
        <v>45908</v>
      </c>
      <c r="F39" s="65">
        <v>45908</v>
      </c>
      <c r="G39" s="65">
        <v>45908</v>
      </c>
      <c r="H39" s="2">
        <v>1</v>
      </c>
      <c r="I39" s="2" t="s">
        <v>54</v>
      </c>
      <c r="J39" s="2" t="s">
        <v>55</v>
      </c>
      <c r="O39" s="2">
        <v>57.5</v>
      </c>
      <c r="Q39" s="2">
        <v>765</v>
      </c>
      <c r="S39" s="5">
        <f t="shared" si="0"/>
        <v>822.5</v>
      </c>
    </row>
    <row r="40" spans="1:19" x14ac:dyDescent="0.3">
      <c r="A40" s="2" t="s">
        <v>52</v>
      </c>
      <c r="B40" s="2" t="s">
        <v>20</v>
      </c>
      <c r="C40" s="58" t="s">
        <v>258</v>
      </c>
      <c r="E40" s="65">
        <v>45908</v>
      </c>
      <c r="F40" s="65">
        <v>45908</v>
      </c>
      <c r="G40" s="65">
        <v>45908</v>
      </c>
      <c r="H40" s="2">
        <v>1</v>
      </c>
      <c r="I40" s="2" t="s">
        <v>54</v>
      </c>
      <c r="J40" s="2" t="s">
        <v>55</v>
      </c>
      <c r="O40" s="2">
        <v>57.5</v>
      </c>
      <c r="Q40" s="2">
        <v>765</v>
      </c>
      <c r="S40" s="5">
        <f t="shared" si="0"/>
        <v>822.5</v>
      </c>
    </row>
    <row r="41" spans="1:19" x14ac:dyDescent="0.3">
      <c r="A41" s="2" t="s">
        <v>57</v>
      </c>
      <c r="B41" s="2" t="s">
        <v>20</v>
      </c>
      <c r="C41" s="58" t="s">
        <v>258</v>
      </c>
      <c r="E41" s="65">
        <v>45908</v>
      </c>
      <c r="F41" s="65">
        <v>45908</v>
      </c>
      <c r="G41" s="65">
        <v>45908</v>
      </c>
      <c r="H41" s="2">
        <v>1</v>
      </c>
      <c r="I41" s="2" t="s">
        <v>54</v>
      </c>
      <c r="J41" s="2" t="s">
        <v>55</v>
      </c>
      <c r="O41" s="2">
        <v>57.5</v>
      </c>
      <c r="Q41" s="2">
        <v>765</v>
      </c>
      <c r="S41" s="5">
        <f t="shared" si="0"/>
        <v>822.5</v>
      </c>
    </row>
    <row r="42" spans="1:19" x14ac:dyDescent="0.3">
      <c r="A42" s="2" t="s">
        <v>200</v>
      </c>
      <c r="B42" s="2" t="s">
        <v>22</v>
      </c>
      <c r="C42" s="58" t="s">
        <v>259</v>
      </c>
      <c r="E42" s="65" t="s">
        <v>260</v>
      </c>
      <c r="F42" s="65">
        <v>45918</v>
      </c>
      <c r="G42" s="65">
        <v>45921</v>
      </c>
      <c r="H42" s="2">
        <v>4</v>
      </c>
      <c r="I42" s="2" t="s">
        <v>54</v>
      </c>
      <c r="J42" s="2" t="s">
        <v>55</v>
      </c>
      <c r="O42" s="2">
        <v>240</v>
      </c>
      <c r="S42" s="5">
        <f t="shared" si="0"/>
        <v>240</v>
      </c>
    </row>
    <row r="43" spans="1:19" x14ac:dyDescent="0.3">
      <c r="A43" s="2" t="s">
        <v>261</v>
      </c>
      <c r="B43" s="2" t="s">
        <v>23</v>
      </c>
      <c r="C43" s="58" t="s">
        <v>59</v>
      </c>
      <c r="E43" s="64" t="s">
        <v>263</v>
      </c>
      <c r="F43" s="65">
        <v>45946</v>
      </c>
      <c r="G43" s="65">
        <v>45947</v>
      </c>
      <c r="H43" s="2">
        <v>2</v>
      </c>
      <c r="I43" s="2" t="s">
        <v>54</v>
      </c>
      <c r="J43" s="2" t="s">
        <v>55</v>
      </c>
      <c r="O43" s="2">
        <v>115</v>
      </c>
      <c r="S43" s="5">
        <f t="shared" si="0"/>
        <v>115</v>
      </c>
    </row>
    <row r="44" spans="1:19" x14ac:dyDescent="0.3">
      <c r="A44" s="2" t="s">
        <v>262</v>
      </c>
      <c r="B44" s="2" t="s">
        <v>23</v>
      </c>
      <c r="C44" s="58" t="s">
        <v>59</v>
      </c>
      <c r="E44" s="64" t="s">
        <v>263</v>
      </c>
      <c r="F44" s="65">
        <v>45946</v>
      </c>
      <c r="G44" s="65">
        <v>45947</v>
      </c>
      <c r="H44" s="2">
        <v>2</v>
      </c>
      <c r="I44" s="2" t="s">
        <v>54</v>
      </c>
      <c r="J44" s="2" t="s">
        <v>55</v>
      </c>
      <c r="O44" s="2">
        <v>115</v>
      </c>
      <c r="S44" s="5">
        <f t="shared" si="0"/>
        <v>115</v>
      </c>
    </row>
    <row r="45" spans="1:19" x14ac:dyDescent="0.3">
      <c r="A45" s="2" t="s">
        <v>52</v>
      </c>
      <c r="B45" s="2" t="s">
        <v>20</v>
      </c>
      <c r="C45" s="2" t="s">
        <v>326</v>
      </c>
      <c r="D45" s="2"/>
      <c r="E45" s="2" t="s">
        <v>327</v>
      </c>
      <c r="F45" s="2" t="s">
        <v>328</v>
      </c>
      <c r="G45" s="2" t="s">
        <v>328</v>
      </c>
      <c r="H45" s="2">
        <v>1</v>
      </c>
      <c r="I45" s="2" t="s">
        <v>54</v>
      </c>
      <c r="J45" s="2" t="s">
        <v>55</v>
      </c>
      <c r="O45" s="2">
        <v>57.5</v>
      </c>
      <c r="P45" s="2">
        <v>650</v>
      </c>
      <c r="S45" s="5">
        <f t="shared" si="0"/>
        <v>707.5</v>
      </c>
    </row>
    <row r="46" spans="1:19" x14ac:dyDescent="0.3">
      <c r="A46" s="2" t="s">
        <v>76</v>
      </c>
      <c r="B46" s="2" t="s">
        <v>20</v>
      </c>
      <c r="C46" s="58" t="s">
        <v>59</v>
      </c>
      <c r="E46" s="65">
        <v>45972</v>
      </c>
      <c r="F46" s="65">
        <v>45972</v>
      </c>
      <c r="G46" s="65">
        <v>45972</v>
      </c>
      <c r="H46" s="2">
        <v>1</v>
      </c>
      <c r="I46" s="2" t="s">
        <v>54</v>
      </c>
      <c r="J46" s="2" t="s">
        <v>55</v>
      </c>
      <c r="O46" s="2">
        <v>57.5</v>
      </c>
      <c r="S46" s="5">
        <f t="shared" si="0"/>
        <v>57.5</v>
      </c>
    </row>
    <row r="47" spans="1:19" x14ac:dyDescent="0.3">
      <c r="A47" s="2" t="s">
        <v>52</v>
      </c>
      <c r="B47" s="2" t="s">
        <v>20</v>
      </c>
      <c r="C47" s="58" t="s">
        <v>59</v>
      </c>
      <c r="E47" s="65">
        <v>45972</v>
      </c>
      <c r="F47" s="65">
        <v>45972</v>
      </c>
      <c r="G47" s="65">
        <v>45972</v>
      </c>
      <c r="H47" s="2">
        <v>1</v>
      </c>
      <c r="I47" s="2" t="s">
        <v>54</v>
      </c>
      <c r="J47" s="2" t="s">
        <v>55</v>
      </c>
      <c r="O47" s="2">
        <v>57.5</v>
      </c>
      <c r="S47" s="5">
        <f t="shared" ref="S47:S81" si="1">SUM(N47:R47)</f>
        <v>57.5</v>
      </c>
    </row>
    <row r="48" spans="1:19" x14ac:dyDescent="0.3">
      <c r="A48" s="2" t="s">
        <v>56</v>
      </c>
      <c r="B48" s="2" t="s">
        <v>20</v>
      </c>
      <c r="C48" s="58" t="s">
        <v>330</v>
      </c>
      <c r="E48" s="64" t="s">
        <v>331</v>
      </c>
      <c r="F48" s="65">
        <v>45974</v>
      </c>
      <c r="G48" s="65">
        <v>45975</v>
      </c>
      <c r="H48" s="2">
        <v>2</v>
      </c>
      <c r="I48" s="2" t="s">
        <v>143</v>
      </c>
      <c r="J48" s="2" t="s">
        <v>65</v>
      </c>
      <c r="O48" s="2">
        <v>115</v>
      </c>
      <c r="S48" s="5">
        <f t="shared" si="1"/>
        <v>115</v>
      </c>
    </row>
    <row r="49" spans="1:19" x14ac:dyDescent="0.3">
      <c r="A49" s="2" t="s">
        <v>76</v>
      </c>
      <c r="B49" s="2" t="s">
        <v>20</v>
      </c>
      <c r="C49" s="58" t="s">
        <v>59</v>
      </c>
      <c r="E49" s="65">
        <v>45979</v>
      </c>
      <c r="F49" s="65">
        <v>45979</v>
      </c>
      <c r="G49" s="65">
        <v>45979</v>
      </c>
      <c r="H49" s="2">
        <v>1</v>
      </c>
      <c r="I49" s="2" t="s">
        <v>54</v>
      </c>
      <c r="J49" s="2" t="s">
        <v>55</v>
      </c>
      <c r="O49" s="2">
        <v>57.5</v>
      </c>
      <c r="S49" s="5">
        <f t="shared" si="1"/>
        <v>57.5</v>
      </c>
    </row>
    <row r="50" spans="1:19" x14ac:dyDescent="0.3">
      <c r="A50" s="2" t="s">
        <v>198</v>
      </c>
      <c r="B50" s="2" t="s">
        <v>21</v>
      </c>
      <c r="C50" s="58" t="s">
        <v>199</v>
      </c>
      <c r="E50" s="64" t="s">
        <v>332</v>
      </c>
      <c r="F50" s="65">
        <v>45995</v>
      </c>
      <c r="G50" s="65">
        <v>45997</v>
      </c>
      <c r="H50" s="2">
        <v>2</v>
      </c>
      <c r="I50" s="2" t="s">
        <v>54</v>
      </c>
      <c r="J50" s="2" t="s">
        <v>55</v>
      </c>
      <c r="O50" s="2">
        <v>120</v>
      </c>
      <c r="S50" s="5">
        <f t="shared" si="1"/>
        <v>120</v>
      </c>
    </row>
    <row r="51" spans="1:19" x14ac:dyDescent="0.3">
      <c r="A51" s="2" t="s">
        <v>200</v>
      </c>
      <c r="B51" s="2" t="s">
        <v>22</v>
      </c>
      <c r="C51" s="58" t="s">
        <v>199</v>
      </c>
      <c r="E51" s="64" t="s">
        <v>332</v>
      </c>
      <c r="F51" s="65">
        <v>45995</v>
      </c>
      <c r="G51" s="65">
        <v>45997</v>
      </c>
      <c r="H51" s="2">
        <v>2</v>
      </c>
      <c r="I51" s="2" t="s">
        <v>54</v>
      </c>
      <c r="J51" s="2" t="s">
        <v>55</v>
      </c>
      <c r="O51" s="2">
        <v>120</v>
      </c>
      <c r="S51" s="5">
        <f t="shared" si="1"/>
        <v>120</v>
      </c>
    </row>
    <row r="52" spans="1:19" x14ac:dyDescent="0.3">
      <c r="A52" s="2" t="s">
        <v>76</v>
      </c>
      <c r="B52" s="2" t="s">
        <v>20</v>
      </c>
      <c r="C52" s="58" t="s">
        <v>333</v>
      </c>
      <c r="E52" s="64" t="s">
        <v>334</v>
      </c>
      <c r="F52" s="65">
        <v>45999</v>
      </c>
      <c r="G52" s="65">
        <v>46000</v>
      </c>
      <c r="H52" s="2">
        <v>2</v>
      </c>
      <c r="I52" s="2" t="s">
        <v>54</v>
      </c>
      <c r="J52" s="2" t="s">
        <v>55</v>
      </c>
      <c r="O52" s="2">
        <v>115</v>
      </c>
      <c r="S52" s="5">
        <f t="shared" si="1"/>
        <v>115</v>
      </c>
    </row>
    <row r="53" spans="1:19" x14ac:dyDescent="0.3">
      <c r="A53" s="2" t="s">
        <v>52</v>
      </c>
      <c r="B53" s="2" t="s">
        <v>20</v>
      </c>
      <c r="C53" s="58" t="s">
        <v>333</v>
      </c>
      <c r="E53" s="64" t="s">
        <v>334</v>
      </c>
      <c r="F53" s="65">
        <v>45999</v>
      </c>
      <c r="G53" s="65">
        <v>46000</v>
      </c>
      <c r="H53" s="2">
        <v>2</v>
      </c>
      <c r="I53" s="2" t="s">
        <v>54</v>
      </c>
      <c r="J53" s="2" t="s">
        <v>55</v>
      </c>
      <c r="O53" s="2">
        <v>115</v>
      </c>
      <c r="S53" s="5">
        <f t="shared" si="1"/>
        <v>115</v>
      </c>
    </row>
    <row r="54" spans="1:19" x14ac:dyDescent="0.3">
      <c r="A54" s="2" t="s">
        <v>57</v>
      </c>
      <c r="B54" s="2" t="s">
        <v>20</v>
      </c>
      <c r="C54" s="58" t="s">
        <v>333</v>
      </c>
      <c r="E54" s="64" t="s">
        <v>334</v>
      </c>
      <c r="F54" s="65">
        <v>45999</v>
      </c>
      <c r="G54" s="65">
        <v>46000</v>
      </c>
      <c r="H54" s="2">
        <v>2</v>
      </c>
      <c r="I54" s="2" t="s">
        <v>54</v>
      </c>
      <c r="J54" s="2" t="s">
        <v>65</v>
      </c>
      <c r="O54" s="2">
        <v>115</v>
      </c>
      <c r="S54" s="5">
        <f t="shared" si="1"/>
        <v>115</v>
      </c>
    </row>
    <row r="55" spans="1:19" x14ac:dyDescent="0.3">
      <c r="A55" s="2" t="s">
        <v>208</v>
      </c>
      <c r="B55" s="2" t="s">
        <v>20</v>
      </c>
      <c r="C55" s="58" t="s">
        <v>333</v>
      </c>
      <c r="E55" s="64" t="s">
        <v>334</v>
      </c>
      <c r="F55" s="65">
        <v>45999</v>
      </c>
      <c r="G55" s="65">
        <v>46000</v>
      </c>
      <c r="H55" s="2">
        <v>2</v>
      </c>
      <c r="I55" s="2" t="s">
        <v>54</v>
      </c>
      <c r="J55" s="2" t="s">
        <v>65</v>
      </c>
      <c r="O55" s="2">
        <v>115</v>
      </c>
      <c r="S55" s="5">
        <f t="shared" si="1"/>
        <v>115</v>
      </c>
    </row>
    <row r="56" spans="1:19" x14ac:dyDescent="0.3">
      <c r="A56" s="2" t="s">
        <v>76</v>
      </c>
      <c r="B56" s="2" t="s">
        <v>20</v>
      </c>
      <c r="C56" s="58" t="s">
        <v>59</v>
      </c>
      <c r="E56" s="64" t="s">
        <v>335</v>
      </c>
      <c r="F56" s="65">
        <v>46006</v>
      </c>
      <c r="G56" s="65">
        <v>46007</v>
      </c>
      <c r="H56" s="2">
        <v>1</v>
      </c>
      <c r="I56" s="2" t="s">
        <v>54</v>
      </c>
      <c r="J56" s="2" t="s">
        <v>55</v>
      </c>
      <c r="O56" s="2">
        <v>57.5</v>
      </c>
      <c r="Q56" s="2">
        <v>369</v>
      </c>
      <c r="S56" s="5">
        <f t="shared" si="1"/>
        <v>426.5</v>
      </c>
    </row>
    <row r="57" spans="1:19" x14ac:dyDescent="0.3">
      <c r="S57" s="5">
        <f t="shared" si="1"/>
        <v>0</v>
      </c>
    </row>
    <row r="58" spans="1:19" x14ac:dyDescent="0.3">
      <c r="S58" s="5">
        <f t="shared" si="1"/>
        <v>0</v>
      </c>
    </row>
    <row r="59" spans="1:19" x14ac:dyDescent="0.3">
      <c r="S59" s="5">
        <f t="shared" si="1"/>
        <v>0</v>
      </c>
    </row>
    <row r="60" spans="1:19" x14ac:dyDescent="0.3">
      <c r="S60" s="5">
        <f t="shared" si="1"/>
        <v>0</v>
      </c>
    </row>
    <row r="61" spans="1:19" x14ac:dyDescent="0.3">
      <c r="S61" s="5">
        <f t="shared" si="1"/>
        <v>0</v>
      </c>
    </row>
    <row r="62" spans="1:19" x14ac:dyDescent="0.3">
      <c r="S62" s="5">
        <f t="shared" si="1"/>
        <v>0</v>
      </c>
    </row>
    <row r="63" spans="1:19" x14ac:dyDescent="0.3">
      <c r="S63" s="5">
        <f t="shared" si="1"/>
        <v>0</v>
      </c>
    </row>
    <row r="64" spans="1:19" x14ac:dyDescent="0.3">
      <c r="S64" s="5">
        <f t="shared" si="1"/>
        <v>0</v>
      </c>
    </row>
    <row r="65" spans="19:19" x14ac:dyDescent="0.3">
      <c r="S65" s="5">
        <f t="shared" si="1"/>
        <v>0</v>
      </c>
    </row>
    <row r="66" spans="19:19" x14ac:dyDescent="0.3">
      <c r="S66" s="5">
        <f t="shared" si="1"/>
        <v>0</v>
      </c>
    </row>
    <row r="67" spans="19:19" x14ac:dyDescent="0.3">
      <c r="S67" s="5">
        <f t="shared" si="1"/>
        <v>0</v>
      </c>
    </row>
    <row r="68" spans="19:19" x14ac:dyDescent="0.3">
      <c r="S68" s="5">
        <f t="shared" si="1"/>
        <v>0</v>
      </c>
    </row>
    <row r="69" spans="19:19" x14ac:dyDescent="0.3">
      <c r="S69" s="5">
        <f t="shared" si="1"/>
        <v>0</v>
      </c>
    </row>
    <row r="70" spans="19:19" x14ac:dyDescent="0.3">
      <c r="S70" s="5">
        <f t="shared" si="1"/>
        <v>0</v>
      </c>
    </row>
    <row r="71" spans="19:19" x14ac:dyDescent="0.3">
      <c r="S71" s="5">
        <f t="shared" si="1"/>
        <v>0</v>
      </c>
    </row>
    <row r="72" spans="19:19" x14ac:dyDescent="0.3">
      <c r="S72" s="5">
        <f t="shared" si="1"/>
        <v>0</v>
      </c>
    </row>
    <row r="73" spans="19:19" x14ac:dyDescent="0.3">
      <c r="S73" s="5">
        <f t="shared" si="1"/>
        <v>0</v>
      </c>
    </row>
    <row r="74" spans="19:19" x14ac:dyDescent="0.3">
      <c r="S74" s="5">
        <f t="shared" si="1"/>
        <v>0</v>
      </c>
    </row>
    <row r="75" spans="19:19" x14ac:dyDescent="0.3">
      <c r="S75" s="5">
        <f t="shared" si="1"/>
        <v>0</v>
      </c>
    </row>
    <row r="76" spans="19:19" x14ac:dyDescent="0.3">
      <c r="S76" s="5">
        <f t="shared" si="1"/>
        <v>0</v>
      </c>
    </row>
    <row r="77" spans="19:19" x14ac:dyDescent="0.3">
      <c r="S77" s="5">
        <f t="shared" si="1"/>
        <v>0</v>
      </c>
    </row>
    <row r="78" spans="19:19" x14ac:dyDescent="0.3">
      <c r="S78" s="5">
        <f t="shared" si="1"/>
        <v>0</v>
      </c>
    </row>
    <row r="79" spans="19:19" x14ac:dyDescent="0.3">
      <c r="S79" s="5">
        <f t="shared" si="1"/>
        <v>0</v>
      </c>
    </row>
    <row r="80" spans="19:19" x14ac:dyDescent="0.3">
      <c r="S80" s="5">
        <f t="shared" si="1"/>
        <v>0</v>
      </c>
    </row>
    <row r="81" spans="19:19" x14ac:dyDescent="0.3">
      <c r="S81" s="5">
        <f t="shared" si="1"/>
        <v>0</v>
      </c>
    </row>
    <row r="82" spans="19:19" x14ac:dyDescent="0.3">
      <c r="S82" s="5">
        <f t="shared" ref="S82:S145" si="2">SUM(N82:R82)</f>
        <v>0</v>
      </c>
    </row>
    <row r="83" spans="19:19" x14ac:dyDescent="0.3">
      <c r="S83" s="5">
        <f t="shared" si="2"/>
        <v>0</v>
      </c>
    </row>
    <row r="84" spans="19:19" x14ac:dyDescent="0.3">
      <c r="S84" s="5">
        <f t="shared" si="2"/>
        <v>0</v>
      </c>
    </row>
    <row r="85" spans="19:19" x14ac:dyDescent="0.3">
      <c r="S85" s="5">
        <f t="shared" si="2"/>
        <v>0</v>
      </c>
    </row>
    <row r="86" spans="19:19" x14ac:dyDescent="0.3">
      <c r="S86" s="5">
        <f t="shared" si="2"/>
        <v>0</v>
      </c>
    </row>
    <row r="87" spans="19:19" x14ac:dyDescent="0.3">
      <c r="S87" s="5">
        <f t="shared" si="2"/>
        <v>0</v>
      </c>
    </row>
    <row r="88" spans="19:19" x14ac:dyDescent="0.3">
      <c r="S88" s="5">
        <f t="shared" si="2"/>
        <v>0</v>
      </c>
    </row>
    <row r="89" spans="19:19" x14ac:dyDescent="0.3">
      <c r="S89" s="5">
        <f t="shared" si="2"/>
        <v>0</v>
      </c>
    </row>
    <row r="90" spans="19:19" x14ac:dyDescent="0.3">
      <c r="S90" s="5">
        <f t="shared" si="2"/>
        <v>0</v>
      </c>
    </row>
    <row r="91" spans="19:19" x14ac:dyDescent="0.3">
      <c r="S91" s="5">
        <f t="shared" si="2"/>
        <v>0</v>
      </c>
    </row>
    <row r="92" spans="19:19" x14ac:dyDescent="0.3">
      <c r="S92" s="5">
        <f t="shared" si="2"/>
        <v>0</v>
      </c>
    </row>
    <row r="93" spans="19:19" x14ac:dyDescent="0.3">
      <c r="S93" s="5">
        <f t="shared" si="2"/>
        <v>0</v>
      </c>
    </row>
    <row r="94" spans="19:19" x14ac:dyDescent="0.3">
      <c r="S94" s="5">
        <f t="shared" si="2"/>
        <v>0</v>
      </c>
    </row>
    <row r="95" spans="19:19" x14ac:dyDescent="0.3">
      <c r="S95" s="5">
        <f t="shared" si="2"/>
        <v>0</v>
      </c>
    </row>
    <row r="96" spans="19:19" x14ac:dyDescent="0.3">
      <c r="S96" s="5">
        <f t="shared" si="2"/>
        <v>0</v>
      </c>
    </row>
    <row r="97" spans="19:19" x14ac:dyDescent="0.3">
      <c r="S97" s="5">
        <f t="shared" si="2"/>
        <v>0</v>
      </c>
    </row>
    <row r="98" spans="19:19" x14ac:dyDescent="0.3">
      <c r="S98" s="5">
        <f t="shared" si="2"/>
        <v>0</v>
      </c>
    </row>
    <row r="99" spans="19:19" x14ac:dyDescent="0.3">
      <c r="S99" s="5">
        <f t="shared" si="2"/>
        <v>0</v>
      </c>
    </row>
    <row r="100" spans="19:19" x14ac:dyDescent="0.3">
      <c r="S100" s="5">
        <f t="shared" si="2"/>
        <v>0</v>
      </c>
    </row>
    <row r="101" spans="19:19" x14ac:dyDescent="0.3">
      <c r="S101" s="5">
        <f t="shared" si="2"/>
        <v>0</v>
      </c>
    </row>
    <row r="102" spans="19:19" x14ac:dyDescent="0.3">
      <c r="S102" s="5">
        <f t="shared" si="2"/>
        <v>0</v>
      </c>
    </row>
    <row r="103" spans="19:19" x14ac:dyDescent="0.3">
      <c r="S103" s="5">
        <f t="shared" si="2"/>
        <v>0</v>
      </c>
    </row>
    <row r="104" spans="19:19" x14ac:dyDescent="0.3">
      <c r="S104" s="5">
        <f t="shared" si="2"/>
        <v>0</v>
      </c>
    </row>
    <row r="105" spans="19:19" x14ac:dyDescent="0.3">
      <c r="S105" s="5">
        <f t="shared" si="2"/>
        <v>0</v>
      </c>
    </row>
    <row r="106" spans="19:19" x14ac:dyDescent="0.3">
      <c r="S106" s="5">
        <f t="shared" si="2"/>
        <v>0</v>
      </c>
    </row>
    <row r="107" spans="19:19" x14ac:dyDescent="0.3">
      <c r="S107" s="5">
        <f t="shared" si="2"/>
        <v>0</v>
      </c>
    </row>
    <row r="108" spans="19:19" x14ac:dyDescent="0.3">
      <c r="S108" s="5">
        <f t="shared" si="2"/>
        <v>0</v>
      </c>
    </row>
    <row r="109" spans="19:19" x14ac:dyDescent="0.3">
      <c r="S109" s="5">
        <f t="shared" si="2"/>
        <v>0</v>
      </c>
    </row>
    <row r="110" spans="19:19" x14ac:dyDescent="0.3">
      <c r="S110" s="5">
        <f t="shared" si="2"/>
        <v>0</v>
      </c>
    </row>
    <row r="111" spans="19:19" x14ac:dyDescent="0.3">
      <c r="S111" s="5">
        <f t="shared" si="2"/>
        <v>0</v>
      </c>
    </row>
    <row r="112" spans="19:19" x14ac:dyDescent="0.3">
      <c r="S112" s="5">
        <f t="shared" si="2"/>
        <v>0</v>
      </c>
    </row>
    <row r="113" spans="19:19" x14ac:dyDescent="0.3">
      <c r="S113" s="5">
        <f t="shared" si="2"/>
        <v>0</v>
      </c>
    </row>
    <row r="114" spans="19:19" x14ac:dyDescent="0.3">
      <c r="S114" s="5">
        <f t="shared" si="2"/>
        <v>0</v>
      </c>
    </row>
    <row r="115" spans="19:19" x14ac:dyDescent="0.3">
      <c r="S115" s="5">
        <f t="shared" si="2"/>
        <v>0</v>
      </c>
    </row>
    <row r="116" spans="19:19" x14ac:dyDescent="0.3">
      <c r="S116" s="5">
        <f t="shared" si="2"/>
        <v>0</v>
      </c>
    </row>
    <row r="117" spans="19:19" x14ac:dyDescent="0.3">
      <c r="S117" s="5">
        <f t="shared" si="2"/>
        <v>0</v>
      </c>
    </row>
    <row r="118" spans="19:19" x14ac:dyDescent="0.3">
      <c r="S118" s="5">
        <f t="shared" si="2"/>
        <v>0</v>
      </c>
    </row>
    <row r="119" spans="19:19" x14ac:dyDescent="0.3">
      <c r="S119" s="5">
        <f t="shared" si="2"/>
        <v>0</v>
      </c>
    </row>
    <row r="120" spans="19:19" x14ac:dyDescent="0.3">
      <c r="S120" s="5">
        <f t="shared" si="2"/>
        <v>0</v>
      </c>
    </row>
    <row r="121" spans="19:19" x14ac:dyDescent="0.3">
      <c r="S121" s="5">
        <f t="shared" si="2"/>
        <v>0</v>
      </c>
    </row>
    <row r="122" spans="19:19" x14ac:dyDescent="0.3">
      <c r="S122" s="5">
        <f t="shared" si="2"/>
        <v>0</v>
      </c>
    </row>
    <row r="123" spans="19:19" x14ac:dyDescent="0.3">
      <c r="S123" s="5">
        <f t="shared" si="2"/>
        <v>0</v>
      </c>
    </row>
    <row r="124" spans="19:19" x14ac:dyDescent="0.3">
      <c r="S124" s="5">
        <f t="shared" si="2"/>
        <v>0</v>
      </c>
    </row>
    <row r="125" spans="19:19" x14ac:dyDescent="0.3">
      <c r="S125" s="5">
        <f t="shared" si="2"/>
        <v>0</v>
      </c>
    </row>
    <row r="126" spans="19:19" x14ac:dyDescent="0.3">
      <c r="S126" s="5">
        <f t="shared" si="2"/>
        <v>0</v>
      </c>
    </row>
    <row r="127" spans="19:19" x14ac:dyDescent="0.3">
      <c r="S127" s="5">
        <f t="shared" si="2"/>
        <v>0</v>
      </c>
    </row>
    <row r="128" spans="19:19" x14ac:dyDescent="0.3">
      <c r="S128" s="5">
        <f t="shared" si="2"/>
        <v>0</v>
      </c>
    </row>
    <row r="129" spans="19:19" x14ac:dyDescent="0.3">
      <c r="S129" s="5">
        <f t="shared" si="2"/>
        <v>0</v>
      </c>
    </row>
    <row r="130" spans="19:19" x14ac:dyDescent="0.3">
      <c r="S130" s="5">
        <f t="shared" si="2"/>
        <v>0</v>
      </c>
    </row>
    <row r="131" spans="19:19" x14ac:dyDescent="0.3">
      <c r="S131" s="5">
        <f t="shared" si="2"/>
        <v>0</v>
      </c>
    </row>
    <row r="132" spans="19:19" x14ac:dyDescent="0.3">
      <c r="S132" s="5">
        <f t="shared" si="2"/>
        <v>0</v>
      </c>
    </row>
    <row r="133" spans="19:19" x14ac:dyDescent="0.3">
      <c r="S133" s="5">
        <f t="shared" si="2"/>
        <v>0</v>
      </c>
    </row>
    <row r="134" spans="19:19" x14ac:dyDescent="0.3">
      <c r="S134" s="5">
        <f t="shared" si="2"/>
        <v>0</v>
      </c>
    </row>
    <row r="135" spans="19:19" x14ac:dyDescent="0.3">
      <c r="S135" s="5">
        <f t="shared" si="2"/>
        <v>0</v>
      </c>
    </row>
    <row r="136" spans="19:19" x14ac:dyDescent="0.3">
      <c r="S136" s="5">
        <f t="shared" si="2"/>
        <v>0</v>
      </c>
    </row>
    <row r="137" spans="19:19" x14ac:dyDescent="0.3">
      <c r="S137" s="5">
        <f t="shared" si="2"/>
        <v>0</v>
      </c>
    </row>
    <row r="138" spans="19:19" x14ac:dyDescent="0.3">
      <c r="S138" s="5">
        <f t="shared" si="2"/>
        <v>0</v>
      </c>
    </row>
    <row r="139" spans="19:19" x14ac:dyDescent="0.3">
      <c r="S139" s="5">
        <f t="shared" si="2"/>
        <v>0</v>
      </c>
    </row>
    <row r="140" spans="19:19" x14ac:dyDescent="0.3">
      <c r="S140" s="5">
        <f t="shared" si="2"/>
        <v>0</v>
      </c>
    </row>
    <row r="141" spans="19:19" x14ac:dyDescent="0.3">
      <c r="S141" s="5">
        <f t="shared" si="2"/>
        <v>0</v>
      </c>
    </row>
    <row r="142" spans="19:19" x14ac:dyDescent="0.3">
      <c r="S142" s="5">
        <f t="shared" si="2"/>
        <v>0</v>
      </c>
    </row>
    <row r="143" spans="19:19" x14ac:dyDescent="0.3">
      <c r="S143" s="5">
        <f t="shared" si="2"/>
        <v>0</v>
      </c>
    </row>
    <row r="144" spans="19:19" x14ac:dyDescent="0.3">
      <c r="S144" s="5">
        <f t="shared" si="2"/>
        <v>0</v>
      </c>
    </row>
    <row r="145" spans="19:19" x14ac:dyDescent="0.3">
      <c r="S145" s="5">
        <f t="shared" si="2"/>
        <v>0</v>
      </c>
    </row>
    <row r="146" spans="19:19" x14ac:dyDescent="0.3">
      <c r="S146" s="5">
        <f t="shared" ref="S146:S209" si="3">SUM(N146:R146)</f>
        <v>0</v>
      </c>
    </row>
    <row r="147" spans="19:19" x14ac:dyDescent="0.3">
      <c r="S147" s="5">
        <f t="shared" si="3"/>
        <v>0</v>
      </c>
    </row>
    <row r="148" spans="19:19" x14ac:dyDescent="0.3">
      <c r="S148" s="5">
        <f t="shared" si="3"/>
        <v>0</v>
      </c>
    </row>
    <row r="149" spans="19:19" x14ac:dyDescent="0.3">
      <c r="S149" s="5">
        <f t="shared" si="3"/>
        <v>0</v>
      </c>
    </row>
    <row r="150" spans="19:19" x14ac:dyDescent="0.3">
      <c r="S150" s="5">
        <f t="shared" si="3"/>
        <v>0</v>
      </c>
    </row>
    <row r="151" spans="19:19" x14ac:dyDescent="0.3">
      <c r="S151" s="5">
        <f t="shared" si="3"/>
        <v>0</v>
      </c>
    </row>
    <row r="152" spans="19:19" x14ac:dyDescent="0.3">
      <c r="S152" s="5">
        <f t="shared" si="3"/>
        <v>0</v>
      </c>
    </row>
    <row r="153" spans="19:19" x14ac:dyDescent="0.3">
      <c r="S153" s="5">
        <f t="shared" si="3"/>
        <v>0</v>
      </c>
    </row>
    <row r="154" spans="19:19" x14ac:dyDescent="0.3">
      <c r="S154" s="5">
        <f t="shared" si="3"/>
        <v>0</v>
      </c>
    </row>
    <row r="155" spans="19:19" x14ac:dyDescent="0.3">
      <c r="S155" s="5">
        <f t="shared" si="3"/>
        <v>0</v>
      </c>
    </row>
    <row r="156" spans="19:19" x14ac:dyDescent="0.3">
      <c r="S156" s="5">
        <f t="shared" si="3"/>
        <v>0</v>
      </c>
    </row>
    <row r="157" spans="19:19" x14ac:dyDescent="0.3">
      <c r="S157" s="5">
        <f t="shared" si="3"/>
        <v>0</v>
      </c>
    </row>
    <row r="158" spans="19:19" x14ac:dyDescent="0.3">
      <c r="S158" s="5">
        <f t="shared" si="3"/>
        <v>0</v>
      </c>
    </row>
    <row r="159" spans="19:19" x14ac:dyDescent="0.3">
      <c r="S159" s="5">
        <f t="shared" si="3"/>
        <v>0</v>
      </c>
    </row>
    <row r="160" spans="19:19" x14ac:dyDescent="0.3">
      <c r="S160" s="5">
        <f t="shared" si="3"/>
        <v>0</v>
      </c>
    </row>
    <row r="161" spans="19:19" x14ac:dyDescent="0.3">
      <c r="S161" s="5">
        <f t="shared" si="3"/>
        <v>0</v>
      </c>
    </row>
    <row r="162" spans="19:19" x14ac:dyDescent="0.3">
      <c r="S162" s="5">
        <f t="shared" si="3"/>
        <v>0</v>
      </c>
    </row>
    <row r="163" spans="19:19" x14ac:dyDescent="0.3">
      <c r="S163" s="5">
        <f t="shared" si="3"/>
        <v>0</v>
      </c>
    </row>
    <row r="164" spans="19:19" x14ac:dyDescent="0.3">
      <c r="S164" s="5">
        <f t="shared" si="3"/>
        <v>0</v>
      </c>
    </row>
    <row r="165" spans="19:19" x14ac:dyDescent="0.3">
      <c r="S165" s="5">
        <f t="shared" si="3"/>
        <v>0</v>
      </c>
    </row>
    <row r="166" spans="19:19" x14ac:dyDescent="0.3">
      <c r="S166" s="5">
        <f t="shared" si="3"/>
        <v>0</v>
      </c>
    </row>
    <row r="167" spans="19:19" x14ac:dyDescent="0.3">
      <c r="S167" s="5">
        <f t="shared" si="3"/>
        <v>0</v>
      </c>
    </row>
    <row r="168" spans="19:19" x14ac:dyDescent="0.3">
      <c r="S168" s="5">
        <f t="shared" si="3"/>
        <v>0</v>
      </c>
    </row>
    <row r="169" spans="19:19" x14ac:dyDescent="0.3">
      <c r="S169" s="5">
        <f t="shared" si="3"/>
        <v>0</v>
      </c>
    </row>
    <row r="170" spans="19:19" x14ac:dyDescent="0.3">
      <c r="S170" s="5">
        <f t="shared" si="3"/>
        <v>0</v>
      </c>
    </row>
    <row r="171" spans="19:19" x14ac:dyDescent="0.3">
      <c r="S171" s="5">
        <f t="shared" si="3"/>
        <v>0</v>
      </c>
    </row>
    <row r="172" spans="19:19" x14ac:dyDescent="0.3">
      <c r="S172" s="5">
        <f t="shared" si="3"/>
        <v>0</v>
      </c>
    </row>
    <row r="173" spans="19:19" x14ac:dyDescent="0.3">
      <c r="S173" s="5">
        <f t="shared" si="3"/>
        <v>0</v>
      </c>
    </row>
    <row r="174" spans="19:19" x14ac:dyDescent="0.3">
      <c r="S174" s="5">
        <f t="shared" si="3"/>
        <v>0</v>
      </c>
    </row>
    <row r="175" spans="19:19" x14ac:dyDescent="0.3">
      <c r="S175" s="5">
        <f t="shared" si="3"/>
        <v>0</v>
      </c>
    </row>
    <row r="176" spans="19:19" x14ac:dyDescent="0.3">
      <c r="S176" s="5">
        <f t="shared" si="3"/>
        <v>0</v>
      </c>
    </row>
    <row r="177" spans="19:19" x14ac:dyDescent="0.3">
      <c r="S177" s="5">
        <f t="shared" si="3"/>
        <v>0</v>
      </c>
    </row>
    <row r="178" spans="19:19" x14ac:dyDescent="0.3">
      <c r="S178" s="5">
        <f t="shared" si="3"/>
        <v>0</v>
      </c>
    </row>
    <row r="179" spans="19:19" x14ac:dyDescent="0.3">
      <c r="S179" s="5">
        <f t="shared" si="3"/>
        <v>0</v>
      </c>
    </row>
    <row r="180" spans="19:19" x14ac:dyDescent="0.3">
      <c r="S180" s="5">
        <f t="shared" si="3"/>
        <v>0</v>
      </c>
    </row>
    <row r="181" spans="19:19" x14ac:dyDescent="0.3">
      <c r="S181" s="5">
        <f t="shared" si="3"/>
        <v>0</v>
      </c>
    </row>
    <row r="182" spans="19:19" x14ac:dyDescent="0.3">
      <c r="S182" s="5">
        <f t="shared" si="3"/>
        <v>0</v>
      </c>
    </row>
    <row r="183" spans="19:19" x14ac:dyDescent="0.3">
      <c r="S183" s="5">
        <f t="shared" si="3"/>
        <v>0</v>
      </c>
    </row>
    <row r="184" spans="19:19" x14ac:dyDescent="0.3">
      <c r="S184" s="5">
        <f t="shared" si="3"/>
        <v>0</v>
      </c>
    </row>
    <row r="185" spans="19:19" x14ac:dyDescent="0.3">
      <c r="S185" s="5">
        <f t="shared" si="3"/>
        <v>0</v>
      </c>
    </row>
    <row r="186" spans="19:19" x14ac:dyDescent="0.3">
      <c r="S186" s="5">
        <f t="shared" si="3"/>
        <v>0</v>
      </c>
    </row>
    <row r="187" spans="19:19" x14ac:dyDescent="0.3">
      <c r="S187" s="5">
        <f t="shared" si="3"/>
        <v>0</v>
      </c>
    </row>
    <row r="188" spans="19:19" x14ac:dyDescent="0.3">
      <c r="S188" s="5">
        <f t="shared" si="3"/>
        <v>0</v>
      </c>
    </row>
    <row r="189" spans="19:19" x14ac:dyDescent="0.3">
      <c r="S189" s="5">
        <f t="shared" si="3"/>
        <v>0</v>
      </c>
    </row>
    <row r="190" spans="19:19" x14ac:dyDescent="0.3">
      <c r="S190" s="5">
        <f t="shared" si="3"/>
        <v>0</v>
      </c>
    </row>
    <row r="191" spans="19:19" x14ac:dyDescent="0.3">
      <c r="S191" s="5">
        <f t="shared" si="3"/>
        <v>0</v>
      </c>
    </row>
    <row r="192" spans="19:19" x14ac:dyDescent="0.3">
      <c r="S192" s="5">
        <f t="shared" si="3"/>
        <v>0</v>
      </c>
    </row>
    <row r="193" spans="19:19" x14ac:dyDescent="0.3">
      <c r="S193" s="5">
        <f t="shared" si="3"/>
        <v>0</v>
      </c>
    </row>
    <row r="194" spans="19:19" x14ac:dyDescent="0.3">
      <c r="S194" s="5">
        <f t="shared" si="3"/>
        <v>0</v>
      </c>
    </row>
    <row r="195" spans="19:19" x14ac:dyDescent="0.3">
      <c r="S195" s="5">
        <f t="shared" si="3"/>
        <v>0</v>
      </c>
    </row>
    <row r="196" spans="19:19" x14ac:dyDescent="0.3">
      <c r="S196" s="5">
        <f t="shared" si="3"/>
        <v>0</v>
      </c>
    </row>
    <row r="197" spans="19:19" x14ac:dyDescent="0.3">
      <c r="S197" s="5">
        <f t="shared" si="3"/>
        <v>0</v>
      </c>
    </row>
    <row r="198" spans="19:19" x14ac:dyDescent="0.3">
      <c r="S198" s="5">
        <f t="shared" si="3"/>
        <v>0</v>
      </c>
    </row>
    <row r="199" spans="19:19" x14ac:dyDescent="0.3">
      <c r="S199" s="5">
        <f t="shared" si="3"/>
        <v>0</v>
      </c>
    </row>
    <row r="200" spans="19:19" x14ac:dyDescent="0.3">
      <c r="S200" s="5">
        <f t="shared" si="3"/>
        <v>0</v>
      </c>
    </row>
    <row r="201" spans="19:19" x14ac:dyDescent="0.3">
      <c r="S201" s="5">
        <f t="shared" si="3"/>
        <v>0</v>
      </c>
    </row>
    <row r="202" spans="19:19" x14ac:dyDescent="0.3">
      <c r="S202" s="5">
        <f t="shared" si="3"/>
        <v>0</v>
      </c>
    </row>
    <row r="203" spans="19:19" x14ac:dyDescent="0.3">
      <c r="S203" s="5">
        <f t="shared" si="3"/>
        <v>0</v>
      </c>
    </row>
    <row r="204" spans="19:19" x14ac:dyDescent="0.3">
      <c r="S204" s="5">
        <f t="shared" si="3"/>
        <v>0</v>
      </c>
    </row>
    <row r="205" spans="19:19" x14ac:dyDescent="0.3">
      <c r="S205" s="5">
        <f t="shared" si="3"/>
        <v>0</v>
      </c>
    </row>
    <row r="206" spans="19:19" x14ac:dyDescent="0.3">
      <c r="S206" s="5">
        <f t="shared" si="3"/>
        <v>0</v>
      </c>
    </row>
    <row r="207" spans="19:19" x14ac:dyDescent="0.3">
      <c r="S207" s="5">
        <f t="shared" si="3"/>
        <v>0</v>
      </c>
    </row>
    <row r="208" spans="19:19" x14ac:dyDescent="0.3">
      <c r="S208" s="5">
        <f t="shared" si="3"/>
        <v>0</v>
      </c>
    </row>
    <row r="209" spans="19:19" x14ac:dyDescent="0.3">
      <c r="S209" s="5">
        <f t="shared" si="3"/>
        <v>0</v>
      </c>
    </row>
    <row r="210" spans="19:19" x14ac:dyDescent="0.3">
      <c r="S210" s="5">
        <f t="shared" ref="S210:S273" si="4">SUM(N210:R210)</f>
        <v>0</v>
      </c>
    </row>
    <row r="211" spans="19:19" x14ac:dyDescent="0.3">
      <c r="S211" s="5">
        <f t="shared" si="4"/>
        <v>0</v>
      </c>
    </row>
    <row r="212" spans="19:19" x14ac:dyDescent="0.3">
      <c r="S212" s="5">
        <f t="shared" si="4"/>
        <v>0</v>
      </c>
    </row>
    <row r="213" spans="19:19" x14ac:dyDescent="0.3">
      <c r="S213" s="5">
        <f t="shared" si="4"/>
        <v>0</v>
      </c>
    </row>
    <row r="214" spans="19:19" x14ac:dyDescent="0.3">
      <c r="S214" s="5">
        <f t="shared" si="4"/>
        <v>0</v>
      </c>
    </row>
    <row r="215" spans="19:19" x14ac:dyDescent="0.3">
      <c r="S215" s="5">
        <f t="shared" si="4"/>
        <v>0</v>
      </c>
    </row>
    <row r="216" spans="19:19" x14ac:dyDescent="0.3">
      <c r="S216" s="5">
        <f t="shared" si="4"/>
        <v>0</v>
      </c>
    </row>
    <row r="217" spans="19:19" x14ac:dyDescent="0.3">
      <c r="S217" s="5">
        <f t="shared" si="4"/>
        <v>0</v>
      </c>
    </row>
    <row r="218" spans="19:19" x14ac:dyDescent="0.3">
      <c r="S218" s="5">
        <f t="shared" si="4"/>
        <v>0</v>
      </c>
    </row>
    <row r="219" spans="19:19" x14ac:dyDescent="0.3">
      <c r="S219" s="5">
        <f t="shared" si="4"/>
        <v>0</v>
      </c>
    </row>
    <row r="220" spans="19:19" x14ac:dyDescent="0.3">
      <c r="S220" s="5">
        <f t="shared" si="4"/>
        <v>0</v>
      </c>
    </row>
    <row r="221" spans="19:19" x14ac:dyDescent="0.3">
      <c r="S221" s="5">
        <f t="shared" si="4"/>
        <v>0</v>
      </c>
    </row>
    <row r="222" spans="19:19" x14ac:dyDescent="0.3">
      <c r="S222" s="5">
        <f t="shared" si="4"/>
        <v>0</v>
      </c>
    </row>
    <row r="223" spans="19:19" x14ac:dyDescent="0.3">
      <c r="S223" s="5">
        <f t="shared" si="4"/>
        <v>0</v>
      </c>
    </row>
    <row r="224" spans="19:19" x14ac:dyDescent="0.3">
      <c r="S224" s="5">
        <f t="shared" si="4"/>
        <v>0</v>
      </c>
    </row>
    <row r="225" spans="19:19" x14ac:dyDescent="0.3">
      <c r="S225" s="5">
        <f t="shared" si="4"/>
        <v>0</v>
      </c>
    </row>
    <row r="226" spans="19:19" x14ac:dyDescent="0.3">
      <c r="S226" s="5">
        <f t="shared" si="4"/>
        <v>0</v>
      </c>
    </row>
    <row r="227" spans="19:19" x14ac:dyDescent="0.3">
      <c r="S227" s="5">
        <f t="shared" si="4"/>
        <v>0</v>
      </c>
    </row>
    <row r="228" spans="19:19" x14ac:dyDescent="0.3">
      <c r="S228" s="5">
        <f t="shared" si="4"/>
        <v>0</v>
      </c>
    </row>
    <row r="229" spans="19:19" x14ac:dyDescent="0.3">
      <c r="S229" s="5">
        <f t="shared" si="4"/>
        <v>0</v>
      </c>
    </row>
    <row r="230" spans="19:19" x14ac:dyDescent="0.3">
      <c r="S230" s="5">
        <f t="shared" si="4"/>
        <v>0</v>
      </c>
    </row>
    <row r="231" spans="19:19" x14ac:dyDescent="0.3">
      <c r="S231" s="5">
        <f t="shared" si="4"/>
        <v>0</v>
      </c>
    </row>
    <row r="232" spans="19:19" x14ac:dyDescent="0.3">
      <c r="S232" s="5">
        <f t="shared" si="4"/>
        <v>0</v>
      </c>
    </row>
    <row r="233" spans="19:19" x14ac:dyDescent="0.3">
      <c r="S233" s="5">
        <f t="shared" si="4"/>
        <v>0</v>
      </c>
    </row>
    <row r="234" spans="19:19" x14ac:dyDescent="0.3">
      <c r="S234" s="5">
        <f t="shared" si="4"/>
        <v>0</v>
      </c>
    </row>
    <row r="235" spans="19:19" x14ac:dyDescent="0.3">
      <c r="S235" s="5">
        <f t="shared" si="4"/>
        <v>0</v>
      </c>
    </row>
    <row r="236" spans="19:19" x14ac:dyDescent="0.3">
      <c r="S236" s="5">
        <f t="shared" si="4"/>
        <v>0</v>
      </c>
    </row>
    <row r="237" spans="19:19" x14ac:dyDescent="0.3">
      <c r="S237" s="5">
        <f t="shared" si="4"/>
        <v>0</v>
      </c>
    </row>
    <row r="238" spans="19:19" x14ac:dyDescent="0.3">
      <c r="S238" s="5">
        <f t="shared" si="4"/>
        <v>0</v>
      </c>
    </row>
    <row r="239" spans="19:19" x14ac:dyDescent="0.3">
      <c r="S239" s="5">
        <f t="shared" si="4"/>
        <v>0</v>
      </c>
    </row>
    <row r="240" spans="19:19" x14ac:dyDescent="0.3">
      <c r="S240" s="5">
        <f t="shared" si="4"/>
        <v>0</v>
      </c>
    </row>
    <row r="241" spans="19:19" x14ac:dyDescent="0.3">
      <c r="S241" s="5">
        <f t="shared" si="4"/>
        <v>0</v>
      </c>
    </row>
    <row r="242" spans="19:19" x14ac:dyDescent="0.3">
      <c r="S242" s="5">
        <f t="shared" si="4"/>
        <v>0</v>
      </c>
    </row>
    <row r="243" spans="19:19" x14ac:dyDescent="0.3">
      <c r="S243" s="5">
        <f t="shared" si="4"/>
        <v>0</v>
      </c>
    </row>
    <row r="244" spans="19:19" x14ac:dyDescent="0.3">
      <c r="S244" s="5">
        <f t="shared" si="4"/>
        <v>0</v>
      </c>
    </row>
    <row r="245" spans="19:19" x14ac:dyDescent="0.3">
      <c r="S245" s="5">
        <f t="shared" si="4"/>
        <v>0</v>
      </c>
    </row>
    <row r="246" spans="19:19" x14ac:dyDescent="0.3">
      <c r="S246" s="5">
        <f t="shared" si="4"/>
        <v>0</v>
      </c>
    </row>
    <row r="247" spans="19:19" x14ac:dyDescent="0.3">
      <c r="S247" s="5">
        <f t="shared" si="4"/>
        <v>0</v>
      </c>
    </row>
    <row r="248" spans="19:19" x14ac:dyDescent="0.3">
      <c r="S248" s="5">
        <f t="shared" si="4"/>
        <v>0</v>
      </c>
    </row>
    <row r="249" spans="19:19" x14ac:dyDescent="0.3">
      <c r="S249" s="5">
        <f t="shared" si="4"/>
        <v>0</v>
      </c>
    </row>
    <row r="250" spans="19:19" x14ac:dyDescent="0.3">
      <c r="S250" s="5">
        <f t="shared" si="4"/>
        <v>0</v>
      </c>
    </row>
    <row r="251" spans="19:19" x14ac:dyDescent="0.3">
      <c r="S251" s="5">
        <f t="shared" si="4"/>
        <v>0</v>
      </c>
    </row>
    <row r="252" spans="19:19" x14ac:dyDescent="0.3">
      <c r="S252" s="5">
        <f t="shared" si="4"/>
        <v>0</v>
      </c>
    </row>
    <row r="253" spans="19:19" x14ac:dyDescent="0.3">
      <c r="S253" s="5">
        <f t="shared" si="4"/>
        <v>0</v>
      </c>
    </row>
    <row r="254" spans="19:19" x14ac:dyDescent="0.3">
      <c r="S254" s="5">
        <f t="shared" si="4"/>
        <v>0</v>
      </c>
    </row>
    <row r="255" spans="19:19" x14ac:dyDescent="0.3">
      <c r="S255" s="5">
        <f t="shared" si="4"/>
        <v>0</v>
      </c>
    </row>
    <row r="256" spans="19:19" x14ac:dyDescent="0.3">
      <c r="S256" s="5">
        <f t="shared" si="4"/>
        <v>0</v>
      </c>
    </row>
    <row r="257" spans="19:19" x14ac:dyDescent="0.3">
      <c r="S257" s="5">
        <f t="shared" si="4"/>
        <v>0</v>
      </c>
    </row>
    <row r="258" spans="19:19" x14ac:dyDescent="0.3">
      <c r="S258" s="5">
        <f t="shared" si="4"/>
        <v>0</v>
      </c>
    </row>
    <row r="259" spans="19:19" x14ac:dyDescent="0.3">
      <c r="S259" s="5">
        <f t="shared" si="4"/>
        <v>0</v>
      </c>
    </row>
    <row r="260" spans="19:19" x14ac:dyDescent="0.3">
      <c r="S260" s="5">
        <f t="shared" si="4"/>
        <v>0</v>
      </c>
    </row>
    <row r="261" spans="19:19" x14ac:dyDescent="0.3">
      <c r="S261" s="5">
        <f t="shared" si="4"/>
        <v>0</v>
      </c>
    </row>
    <row r="262" spans="19:19" x14ac:dyDescent="0.3">
      <c r="S262" s="5">
        <f t="shared" si="4"/>
        <v>0</v>
      </c>
    </row>
    <row r="263" spans="19:19" x14ac:dyDescent="0.3">
      <c r="S263" s="5">
        <f t="shared" si="4"/>
        <v>0</v>
      </c>
    </row>
    <row r="264" spans="19:19" x14ac:dyDescent="0.3">
      <c r="S264" s="5">
        <f t="shared" si="4"/>
        <v>0</v>
      </c>
    </row>
    <row r="265" spans="19:19" x14ac:dyDescent="0.3">
      <c r="S265" s="5">
        <f t="shared" si="4"/>
        <v>0</v>
      </c>
    </row>
    <row r="266" spans="19:19" x14ac:dyDescent="0.3">
      <c r="S266" s="5">
        <f t="shared" si="4"/>
        <v>0</v>
      </c>
    </row>
    <row r="267" spans="19:19" x14ac:dyDescent="0.3">
      <c r="S267" s="5">
        <f t="shared" si="4"/>
        <v>0</v>
      </c>
    </row>
    <row r="268" spans="19:19" x14ac:dyDescent="0.3">
      <c r="S268" s="5">
        <f t="shared" si="4"/>
        <v>0</v>
      </c>
    </row>
    <row r="269" spans="19:19" x14ac:dyDescent="0.3">
      <c r="S269" s="5">
        <f t="shared" si="4"/>
        <v>0</v>
      </c>
    </row>
    <row r="270" spans="19:19" x14ac:dyDescent="0.3">
      <c r="S270" s="5">
        <f t="shared" si="4"/>
        <v>0</v>
      </c>
    </row>
    <row r="271" spans="19:19" x14ac:dyDescent="0.3">
      <c r="S271" s="5">
        <f t="shared" si="4"/>
        <v>0</v>
      </c>
    </row>
    <row r="272" spans="19:19" x14ac:dyDescent="0.3">
      <c r="S272" s="5">
        <f t="shared" si="4"/>
        <v>0</v>
      </c>
    </row>
    <row r="273" spans="19:19" x14ac:dyDescent="0.3">
      <c r="S273" s="5">
        <f t="shared" si="4"/>
        <v>0</v>
      </c>
    </row>
    <row r="274" spans="19:19" x14ac:dyDescent="0.3">
      <c r="S274" s="5">
        <f t="shared" ref="S274:S337" si="5">SUM(N274:R274)</f>
        <v>0</v>
      </c>
    </row>
    <row r="275" spans="19:19" x14ac:dyDescent="0.3">
      <c r="S275" s="5">
        <f t="shared" si="5"/>
        <v>0</v>
      </c>
    </row>
    <row r="276" spans="19:19" x14ac:dyDescent="0.3">
      <c r="S276" s="5">
        <f t="shared" si="5"/>
        <v>0</v>
      </c>
    </row>
    <row r="277" spans="19:19" x14ac:dyDescent="0.3">
      <c r="S277" s="5">
        <f t="shared" si="5"/>
        <v>0</v>
      </c>
    </row>
    <row r="278" spans="19:19" x14ac:dyDescent="0.3">
      <c r="S278" s="5">
        <f t="shared" si="5"/>
        <v>0</v>
      </c>
    </row>
    <row r="279" spans="19:19" x14ac:dyDescent="0.3">
      <c r="S279" s="5">
        <f t="shared" si="5"/>
        <v>0</v>
      </c>
    </row>
    <row r="280" spans="19:19" x14ac:dyDescent="0.3">
      <c r="S280" s="5">
        <f t="shared" si="5"/>
        <v>0</v>
      </c>
    </row>
    <row r="281" spans="19:19" x14ac:dyDescent="0.3">
      <c r="S281" s="5">
        <f t="shared" si="5"/>
        <v>0</v>
      </c>
    </row>
    <row r="282" spans="19:19" x14ac:dyDescent="0.3">
      <c r="S282" s="5">
        <f t="shared" si="5"/>
        <v>0</v>
      </c>
    </row>
    <row r="283" spans="19:19" x14ac:dyDescent="0.3">
      <c r="S283" s="5">
        <f t="shared" si="5"/>
        <v>0</v>
      </c>
    </row>
    <row r="284" spans="19:19" x14ac:dyDescent="0.3">
      <c r="S284" s="5">
        <f t="shared" si="5"/>
        <v>0</v>
      </c>
    </row>
    <row r="285" spans="19:19" x14ac:dyDescent="0.3">
      <c r="S285" s="5">
        <f t="shared" si="5"/>
        <v>0</v>
      </c>
    </row>
    <row r="286" spans="19:19" x14ac:dyDescent="0.3">
      <c r="S286" s="5">
        <f t="shared" si="5"/>
        <v>0</v>
      </c>
    </row>
    <row r="287" spans="19:19" x14ac:dyDescent="0.3">
      <c r="S287" s="5">
        <f t="shared" si="5"/>
        <v>0</v>
      </c>
    </row>
    <row r="288" spans="19:19" x14ac:dyDescent="0.3">
      <c r="S288" s="5">
        <f t="shared" si="5"/>
        <v>0</v>
      </c>
    </row>
    <row r="289" spans="19:19" x14ac:dyDescent="0.3">
      <c r="S289" s="5">
        <f t="shared" si="5"/>
        <v>0</v>
      </c>
    </row>
    <row r="290" spans="19:19" x14ac:dyDescent="0.3">
      <c r="S290" s="5">
        <f t="shared" si="5"/>
        <v>0</v>
      </c>
    </row>
    <row r="291" spans="19:19" x14ac:dyDescent="0.3">
      <c r="S291" s="5">
        <f t="shared" si="5"/>
        <v>0</v>
      </c>
    </row>
    <row r="292" spans="19:19" x14ac:dyDescent="0.3">
      <c r="S292" s="5">
        <f t="shared" si="5"/>
        <v>0</v>
      </c>
    </row>
    <row r="293" spans="19:19" x14ac:dyDescent="0.3">
      <c r="S293" s="5">
        <f t="shared" si="5"/>
        <v>0</v>
      </c>
    </row>
    <row r="294" spans="19:19" x14ac:dyDescent="0.3">
      <c r="S294" s="5">
        <f t="shared" si="5"/>
        <v>0</v>
      </c>
    </row>
    <row r="295" spans="19:19" x14ac:dyDescent="0.3">
      <c r="S295" s="5">
        <f t="shared" si="5"/>
        <v>0</v>
      </c>
    </row>
    <row r="296" spans="19:19" x14ac:dyDescent="0.3">
      <c r="S296" s="5">
        <f t="shared" si="5"/>
        <v>0</v>
      </c>
    </row>
    <row r="297" spans="19:19" x14ac:dyDescent="0.3">
      <c r="S297" s="5">
        <f t="shared" si="5"/>
        <v>0</v>
      </c>
    </row>
    <row r="298" spans="19:19" x14ac:dyDescent="0.3">
      <c r="S298" s="5">
        <f t="shared" si="5"/>
        <v>0</v>
      </c>
    </row>
    <row r="299" spans="19:19" x14ac:dyDescent="0.3">
      <c r="S299" s="5">
        <f t="shared" si="5"/>
        <v>0</v>
      </c>
    </row>
    <row r="300" spans="19:19" x14ac:dyDescent="0.3">
      <c r="S300" s="5">
        <f t="shared" si="5"/>
        <v>0</v>
      </c>
    </row>
    <row r="301" spans="19:19" x14ac:dyDescent="0.3">
      <c r="S301" s="5">
        <f t="shared" si="5"/>
        <v>0</v>
      </c>
    </row>
    <row r="302" spans="19:19" x14ac:dyDescent="0.3">
      <c r="S302" s="5">
        <f t="shared" si="5"/>
        <v>0</v>
      </c>
    </row>
    <row r="303" spans="19:19" x14ac:dyDescent="0.3">
      <c r="S303" s="5">
        <f t="shared" si="5"/>
        <v>0</v>
      </c>
    </row>
    <row r="304" spans="19:19" x14ac:dyDescent="0.3">
      <c r="S304" s="5">
        <f t="shared" si="5"/>
        <v>0</v>
      </c>
    </row>
    <row r="305" spans="19:19" x14ac:dyDescent="0.3">
      <c r="S305" s="5">
        <f t="shared" si="5"/>
        <v>0</v>
      </c>
    </row>
    <row r="306" spans="19:19" x14ac:dyDescent="0.3">
      <c r="S306" s="5">
        <f t="shared" si="5"/>
        <v>0</v>
      </c>
    </row>
    <row r="307" spans="19:19" x14ac:dyDescent="0.3">
      <c r="S307" s="5">
        <f t="shared" si="5"/>
        <v>0</v>
      </c>
    </row>
    <row r="308" spans="19:19" x14ac:dyDescent="0.3">
      <c r="S308" s="5">
        <f t="shared" si="5"/>
        <v>0</v>
      </c>
    </row>
    <row r="309" spans="19:19" x14ac:dyDescent="0.3">
      <c r="S309" s="5">
        <f t="shared" si="5"/>
        <v>0</v>
      </c>
    </row>
    <row r="310" spans="19:19" x14ac:dyDescent="0.3">
      <c r="S310" s="5">
        <f t="shared" si="5"/>
        <v>0</v>
      </c>
    </row>
    <row r="311" spans="19:19" x14ac:dyDescent="0.3">
      <c r="S311" s="5">
        <f t="shared" si="5"/>
        <v>0</v>
      </c>
    </row>
    <row r="312" spans="19:19" x14ac:dyDescent="0.3">
      <c r="S312" s="5">
        <f t="shared" si="5"/>
        <v>0</v>
      </c>
    </row>
    <row r="313" spans="19:19" x14ac:dyDescent="0.3">
      <c r="S313" s="5">
        <f t="shared" si="5"/>
        <v>0</v>
      </c>
    </row>
    <row r="314" spans="19:19" x14ac:dyDescent="0.3">
      <c r="S314" s="5">
        <f t="shared" si="5"/>
        <v>0</v>
      </c>
    </row>
    <row r="315" spans="19:19" x14ac:dyDescent="0.3">
      <c r="S315" s="5">
        <f t="shared" si="5"/>
        <v>0</v>
      </c>
    </row>
    <row r="316" spans="19:19" x14ac:dyDescent="0.3">
      <c r="S316" s="5">
        <f t="shared" si="5"/>
        <v>0</v>
      </c>
    </row>
    <row r="317" spans="19:19" x14ac:dyDescent="0.3">
      <c r="S317" s="5">
        <f t="shared" si="5"/>
        <v>0</v>
      </c>
    </row>
    <row r="318" spans="19:19" x14ac:dyDescent="0.3">
      <c r="S318" s="5">
        <f t="shared" si="5"/>
        <v>0</v>
      </c>
    </row>
    <row r="319" spans="19:19" x14ac:dyDescent="0.3">
      <c r="S319" s="5">
        <f t="shared" si="5"/>
        <v>0</v>
      </c>
    </row>
    <row r="320" spans="19:19" x14ac:dyDescent="0.3">
      <c r="S320" s="5">
        <f t="shared" si="5"/>
        <v>0</v>
      </c>
    </row>
    <row r="321" spans="19:19" x14ac:dyDescent="0.3">
      <c r="S321" s="5">
        <f t="shared" si="5"/>
        <v>0</v>
      </c>
    </row>
    <row r="322" spans="19:19" x14ac:dyDescent="0.3">
      <c r="S322" s="5">
        <f t="shared" si="5"/>
        <v>0</v>
      </c>
    </row>
    <row r="323" spans="19:19" x14ac:dyDescent="0.3">
      <c r="S323" s="5">
        <f t="shared" si="5"/>
        <v>0</v>
      </c>
    </row>
    <row r="324" spans="19:19" x14ac:dyDescent="0.3">
      <c r="S324" s="5">
        <f t="shared" si="5"/>
        <v>0</v>
      </c>
    </row>
    <row r="325" spans="19:19" x14ac:dyDescent="0.3">
      <c r="S325" s="5">
        <f t="shared" si="5"/>
        <v>0</v>
      </c>
    </row>
    <row r="326" spans="19:19" x14ac:dyDescent="0.3">
      <c r="S326" s="5">
        <f t="shared" si="5"/>
        <v>0</v>
      </c>
    </row>
    <row r="327" spans="19:19" x14ac:dyDescent="0.3">
      <c r="S327" s="5">
        <f t="shared" si="5"/>
        <v>0</v>
      </c>
    </row>
    <row r="328" spans="19:19" x14ac:dyDescent="0.3">
      <c r="S328" s="5">
        <f t="shared" si="5"/>
        <v>0</v>
      </c>
    </row>
    <row r="329" spans="19:19" x14ac:dyDescent="0.3">
      <c r="S329" s="5">
        <f t="shared" si="5"/>
        <v>0</v>
      </c>
    </row>
    <row r="330" spans="19:19" x14ac:dyDescent="0.3">
      <c r="S330" s="5">
        <f t="shared" si="5"/>
        <v>0</v>
      </c>
    </row>
    <row r="331" spans="19:19" x14ac:dyDescent="0.3">
      <c r="S331" s="5">
        <f t="shared" si="5"/>
        <v>0</v>
      </c>
    </row>
    <row r="332" spans="19:19" x14ac:dyDescent="0.3">
      <c r="S332" s="5">
        <f t="shared" si="5"/>
        <v>0</v>
      </c>
    </row>
    <row r="333" spans="19:19" x14ac:dyDescent="0.3">
      <c r="S333" s="5">
        <f t="shared" si="5"/>
        <v>0</v>
      </c>
    </row>
    <row r="334" spans="19:19" x14ac:dyDescent="0.3">
      <c r="S334" s="5">
        <f t="shared" si="5"/>
        <v>0</v>
      </c>
    </row>
    <row r="335" spans="19:19" x14ac:dyDescent="0.3">
      <c r="S335" s="5">
        <f t="shared" si="5"/>
        <v>0</v>
      </c>
    </row>
    <row r="336" spans="19:19" x14ac:dyDescent="0.3">
      <c r="S336" s="5">
        <f t="shared" si="5"/>
        <v>0</v>
      </c>
    </row>
    <row r="337" spans="19:19" x14ac:dyDescent="0.3">
      <c r="S337" s="5">
        <f t="shared" si="5"/>
        <v>0</v>
      </c>
    </row>
    <row r="338" spans="19:19" x14ac:dyDescent="0.3">
      <c r="S338" s="5">
        <f t="shared" ref="S338:S401" si="6">SUM(N338:R338)</f>
        <v>0</v>
      </c>
    </row>
    <row r="339" spans="19:19" x14ac:dyDescent="0.3">
      <c r="S339" s="5">
        <f t="shared" si="6"/>
        <v>0</v>
      </c>
    </row>
    <row r="340" spans="19:19" x14ac:dyDescent="0.3">
      <c r="S340" s="5">
        <f t="shared" si="6"/>
        <v>0</v>
      </c>
    </row>
    <row r="341" spans="19:19" x14ac:dyDescent="0.3">
      <c r="S341" s="5">
        <f t="shared" si="6"/>
        <v>0</v>
      </c>
    </row>
    <row r="342" spans="19:19" x14ac:dyDescent="0.3">
      <c r="S342" s="5">
        <f t="shared" si="6"/>
        <v>0</v>
      </c>
    </row>
    <row r="343" spans="19:19" x14ac:dyDescent="0.3">
      <c r="S343" s="5">
        <f t="shared" si="6"/>
        <v>0</v>
      </c>
    </row>
    <row r="344" spans="19:19" x14ac:dyDescent="0.3">
      <c r="S344" s="5">
        <f t="shared" si="6"/>
        <v>0</v>
      </c>
    </row>
    <row r="345" spans="19:19" x14ac:dyDescent="0.3">
      <c r="S345" s="5">
        <f t="shared" si="6"/>
        <v>0</v>
      </c>
    </row>
    <row r="346" spans="19:19" x14ac:dyDescent="0.3">
      <c r="S346" s="5">
        <f t="shared" si="6"/>
        <v>0</v>
      </c>
    </row>
    <row r="347" spans="19:19" x14ac:dyDescent="0.3">
      <c r="S347" s="5">
        <f t="shared" si="6"/>
        <v>0</v>
      </c>
    </row>
    <row r="348" spans="19:19" x14ac:dyDescent="0.3">
      <c r="S348" s="5">
        <f t="shared" si="6"/>
        <v>0</v>
      </c>
    </row>
    <row r="349" spans="19:19" x14ac:dyDescent="0.3">
      <c r="S349" s="5">
        <f t="shared" si="6"/>
        <v>0</v>
      </c>
    </row>
    <row r="350" spans="19:19" x14ac:dyDescent="0.3">
      <c r="S350" s="5">
        <f t="shared" si="6"/>
        <v>0</v>
      </c>
    </row>
    <row r="351" spans="19:19" x14ac:dyDescent="0.3">
      <c r="S351" s="5">
        <f t="shared" si="6"/>
        <v>0</v>
      </c>
    </row>
    <row r="352" spans="19:19" x14ac:dyDescent="0.3">
      <c r="S352" s="5">
        <f t="shared" si="6"/>
        <v>0</v>
      </c>
    </row>
    <row r="353" spans="19:19" x14ac:dyDescent="0.3">
      <c r="S353" s="5">
        <f t="shared" si="6"/>
        <v>0</v>
      </c>
    </row>
    <row r="354" spans="19:19" x14ac:dyDescent="0.3">
      <c r="S354" s="5">
        <f t="shared" si="6"/>
        <v>0</v>
      </c>
    </row>
    <row r="355" spans="19:19" x14ac:dyDescent="0.3">
      <c r="S355" s="5">
        <f t="shared" si="6"/>
        <v>0</v>
      </c>
    </row>
    <row r="356" spans="19:19" x14ac:dyDescent="0.3">
      <c r="S356" s="5">
        <f t="shared" si="6"/>
        <v>0</v>
      </c>
    </row>
    <row r="357" spans="19:19" x14ac:dyDescent="0.3">
      <c r="S357" s="5">
        <f t="shared" si="6"/>
        <v>0</v>
      </c>
    </row>
    <row r="358" spans="19:19" x14ac:dyDescent="0.3">
      <c r="S358" s="5">
        <f t="shared" si="6"/>
        <v>0</v>
      </c>
    </row>
    <row r="359" spans="19:19" x14ac:dyDescent="0.3">
      <c r="S359" s="5">
        <f t="shared" si="6"/>
        <v>0</v>
      </c>
    </row>
    <row r="360" spans="19:19" x14ac:dyDescent="0.3">
      <c r="S360" s="5">
        <f t="shared" si="6"/>
        <v>0</v>
      </c>
    </row>
    <row r="361" spans="19:19" x14ac:dyDescent="0.3">
      <c r="S361" s="5">
        <f t="shared" si="6"/>
        <v>0</v>
      </c>
    </row>
    <row r="362" spans="19:19" x14ac:dyDescent="0.3">
      <c r="S362" s="5">
        <f t="shared" si="6"/>
        <v>0</v>
      </c>
    </row>
    <row r="363" spans="19:19" x14ac:dyDescent="0.3">
      <c r="S363" s="5">
        <f t="shared" si="6"/>
        <v>0</v>
      </c>
    </row>
    <row r="364" spans="19:19" x14ac:dyDescent="0.3">
      <c r="S364" s="5">
        <f t="shared" si="6"/>
        <v>0</v>
      </c>
    </row>
    <row r="365" spans="19:19" x14ac:dyDescent="0.3">
      <c r="S365" s="5">
        <f t="shared" si="6"/>
        <v>0</v>
      </c>
    </row>
    <row r="366" spans="19:19" x14ac:dyDescent="0.3">
      <c r="S366" s="5">
        <f t="shared" si="6"/>
        <v>0</v>
      </c>
    </row>
    <row r="367" spans="19:19" x14ac:dyDescent="0.3">
      <c r="S367" s="5">
        <f t="shared" si="6"/>
        <v>0</v>
      </c>
    </row>
    <row r="368" spans="19:19" x14ac:dyDescent="0.3">
      <c r="S368" s="5">
        <f t="shared" si="6"/>
        <v>0</v>
      </c>
    </row>
    <row r="369" spans="19:19" x14ac:dyDescent="0.3">
      <c r="S369" s="5">
        <f t="shared" si="6"/>
        <v>0</v>
      </c>
    </row>
    <row r="370" spans="19:19" x14ac:dyDescent="0.3">
      <c r="S370" s="5">
        <f t="shared" si="6"/>
        <v>0</v>
      </c>
    </row>
    <row r="371" spans="19:19" x14ac:dyDescent="0.3">
      <c r="S371" s="5">
        <f t="shared" si="6"/>
        <v>0</v>
      </c>
    </row>
    <row r="372" spans="19:19" x14ac:dyDescent="0.3">
      <c r="S372" s="5">
        <f t="shared" si="6"/>
        <v>0</v>
      </c>
    </row>
    <row r="373" spans="19:19" x14ac:dyDescent="0.3">
      <c r="S373" s="5">
        <f t="shared" si="6"/>
        <v>0</v>
      </c>
    </row>
    <row r="374" spans="19:19" x14ac:dyDescent="0.3">
      <c r="S374" s="5">
        <f t="shared" si="6"/>
        <v>0</v>
      </c>
    </row>
    <row r="375" spans="19:19" x14ac:dyDescent="0.3">
      <c r="S375" s="5">
        <f t="shared" si="6"/>
        <v>0</v>
      </c>
    </row>
    <row r="376" spans="19:19" x14ac:dyDescent="0.3">
      <c r="S376" s="5">
        <f t="shared" si="6"/>
        <v>0</v>
      </c>
    </row>
    <row r="377" spans="19:19" x14ac:dyDescent="0.3">
      <c r="S377" s="5">
        <f t="shared" si="6"/>
        <v>0</v>
      </c>
    </row>
    <row r="378" spans="19:19" x14ac:dyDescent="0.3">
      <c r="S378" s="5">
        <f t="shared" si="6"/>
        <v>0</v>
      </c>
    </row>
    <row r="379" spans="19:19" x14ac:dyDescent="0.3">
      <c r="S379" s="5">
        <f t="shared" si="6"/>
        <v>0</v>
      </c>
    </row>
    <row r="380" spans="19:19" x14ac:dyDescent="0.3">
      <c r="S380" s="5">
        <f t="shared" si="6"/>
        <v>0</v>
      </c>
    </row>
    <row r="381" spans="19:19" x14ac:dyDescent="0.3">
      <c r="S381" s="5">
        <f t="shared" si="6"/>
        <v>0</v>
      </c>
    </row>
    <row r="382" spans="19:19" x14ac:dyDescent="0.3">
      <c r="S382" s="5">
        <f t="shared" si="6"/>
        <v>0</v>
      </c>
    </row>
    <row r="383" spans="19:19" x14ac:dyDescent="0.3">
      <c r="S383" s="5">
        <f t="shared" si="6"/>
        <v>0</v>
      </c>
    </row>
    <row r="384" spans="19:19" x14ac:dyDescent="0.3">
      <c r="S384" s="5">
        <f t="shared" si="6"/>
        <v>0</v>
      </c>
    </row>
    <row r="385" spans="19:19" x14ac:dyDescent="0.3">
      <c r="S385" s="5">
        <f t="shared" si="6"/>
        <v>0</v>
      </c>
    </row>
    <row r="386" spans="19:19" x14ac:dyDescent="0.3">
      <c r="S386" s="5">
        <f t="shared" si="6"/>
        <v>0</v>
      </c>
    </row>
    <row r="387" spans="19:19" x14ac:dyDescent="0.3">
      <c r="S387" s="5">
        <f t="shared" si="6"/>
        <v>0</v>
      </c>
    </row>
    <row r="388" spans="19:19" x14ac:dyDescent="0.3">
      <c r="S388" s="5">
        <f t="shared" si="6"/>
        <v>0</v>
      </c>
    </row>
    <row r="389" spans="19:19" x14ac:dyDescent="0.3">
      <c r="S389" s="5">
        <f t="shared" si="6"/>
        <v>0</v>
      </c>
    </row>
    <row r="390" spans="19:19" x14ac:dyDescent="0.3">
      <c r="S390" s="5">
        <f t="shared" si="6"/>
        <v>0</v>
      </c>
    </row>
    <row r="391" spans="19:19" x14ac:dyDescent="0.3">
      <c r="S391" s="5">
        <f t="shared" si="6"/>
        <v>0</v>
      </c>
    </row>
    <row r="392" spans="19:19" x14ac:dyDescent="0.3">
      <c r="S392" s="5">
        <f t="shared" si="6"/>
        <v>0</v>
      </c>
    </row>
    <row r="393" spans="19:19" x14ac:dyDescent="0.3">
      <c r="S393" s="5">
        <f t="shared" si="6"/>
        <v>0</v>
      </c>
    </row>
    <row r="394" spans="19:19" x14ac:dyDescent="0.3">
      <c r="S394" s="5">
        <f t="shared" si="6"/>
        <v>0</v>
      </c>
    </row>
    <row r="395" spans="19:19" x14ac:dyDescent="0.3">
      <c r="S395" s="5">
        <f t="shared" si="6"/>
        <v>0</v>
      </c>
    </row>
    <row r="396" spans="19:19" x14ac:dyDescent="0.3">
      <c r="S396" s="5">
        <f t="shared" si="6"/>
        <v>0</v>
      </c>
    </row>
    <row r="397" spans="19:19" x14ac:dyDescent="0.3">
      <c r="S397" s="5">
        <f t="shared" si="6"/>
        <v>0</v>
      </c>
    </row>
    <row r="398" spans="19:19" x14ac:dyDescent="0.3">
      <c r="S398" s="5">
        <f t="shared" si="6"/>
        <v>0</v>
      </c>
    </row>
    <row r="399" spans="19:19" x14ac:dyDescent="0.3">
      <c r="S399" s="5">
        <f t="shared" si="6"/>
        <v>0</v>
      </c>
    </row>
    <row r="400" spans="19:19" x14ac:dyDescent="0.3">
      <c r="S400" s="5">
        <f t="shared" si="6"/>
        <v>0</v>
      </c>
    </row>
    <row r="401" spans="19:19" x14ac:dyDescent="0.3">
      <c r="S401" s="5">
        <f t="shared" si="6"/>
        <v>0</v>
      </c>
    </row>
    <row r="402" spans="19:19" x14ac:dyDescent="0.3">
      <c r="S402" s="5">
        <f t="shared" ref="S402:S465" si="7">SUM(N402:R402)</f>
        <v>0</v>
      </c>
    </row>
    <row r="403" spans="19:19" x14ac:dyDescent="0.3">
      <c r="S403" s="5">
        <f t="shared" si="7"/>
        <v>0</v>
      </c>
    </row>
    <row r="404" spans="19:19" x14ac:dyDescent="0.3">
      <c r="S404" s="5">
        <f t="shared" si="7"/>
        <v>0</v>
      </c>
    </row>
    <row r="405" spans="19:19" x14ac:dyDescent="0.3">
      <c r="S405" s="5">
        <f t="shared" si="7"/>
        <v>0</v>
      </c>
    </row>
    <row r="406" spans="19:19" x14ac:dyDescent="0.3">
      <c r="S406" s="5">
        <f t="shared" si="7"/>
        <v>0</v>
      </c>
    </row>
    <row r="407" spans="19:19" x14ac:dyDescent="0.3">
      <c r="S407" s="5">
        <f t="shared" si="7"/>
        <v>0</v>
      </c>
    </row>
    <row r="408" spans="19:19" x14ac:dyDescent="0.3">
      <c r="S408" s="5">
        <f t="shared" si="7"/>
        <v>0</v>
      </c>
    </row>
    <row r="409" spans="19:19" x14ac:dyDescent="0.3">
      <c r="S409" s="5">
        <f t="shared" si="7"/>
        <v>0</v>
      </c>
    </row>
    <row r="410" spans="19:19" x14ac:dyDescent="0.3">
      <c r="S410" s="5">
        <f t="shared" si="7"/>
        <v>0</v>
      </c>
    </row>
    <row r="411" spans="19:19" x14ac:dyDescent="0.3">
      <c r="S411" s="5">
        <f t="shared" si="7"/>
        <v>0</v>
      </c>
    </row>
    <row r="412" spans="19:19" x14ac:dyDescent="0.3">
      <c r="S412" s="5">
        <f t="shared" si="7"/>
        <v>0</v>
      </c>
    </row>
    <row r="413" spans="19:19" x14ac:dyDescent="0.3">
      <c r="S413" s="5">
        <f t="shared" si="7"/>
        <v>0</v>
      </c>
    </row>
    <row r="414" spans="19:19" x14ac:dyDescent="0.3">
      <c r="S414" s="5">
        <f t="shared" si="7"/>
        <v>0</v>
      </c>
    </row>
    <row r="415" spans="19:19" x14ac:dyDescent="0.3">
      <c r="S415" s="5">
        <f t="shared" si="7"/>
        <v>0</v>
      </c>
    </row>
    <row r="416" spans="19:19" x14ac:dyDescent="0.3">
      <c r="S416" s="5">
        <f t="shared" si="7"/>
        <v>0</v>
      </c>
    </row>
    <row r="417" spans="19:19" x14ac:dyDescent="0.3">
      <c r="S417" s="5">
        <f t="shared" si="7"/>
        <v>0</v>
      </c>
    </row>
    <row r="418" spans="19:19" x14ac:dyDescent="0.3">
      <c r="S418" s="5">
        <f t="shared" si="7"/>
        <v>0</v>
      </c>
    </row>
    <row r="419" spans="19:19" x14ac:dyDescent="0.3">
      <c r="S419" s="5">
        <f t="shared" si="7"/>
        <v>0</v>
      </c>
    </row>
    <row r="420" spans="19:19" x14ac:dyDescent="0.3">
      <c r="S420" s="5">
        <f t="shared" si="7"/>
        <v>0</v>
      </c>
    </row>
    <row r="421" spans="19:19" x14ac:dyDescent="0.3">
      <c r="S421" s="5">
        <f t="shared" si="7"/>
        <v>0</v>
      </c>
    </row>
    <row r="422" spans="19:19" x14ac:dyDescent="0.3">
      <c r="S422" s="5">
        <f t="shared" si="7"/>
        <v>0</v>
      </c>
    </row>
    <row r="423" spans="19:19" x14ac:dyDescent="0.3">
      <c r="S423" s="5">
        <f t="shared" si="7"/>
        <v>0</v>
      </c>
    </row>
    <row r="424" spans="19:19" x14ac:dyDescent="0.3">
      <c r="S424" s="5">
        <f t="shared" si="7"/>
        <v>0</v>
      </c>
    </row>
    <row r="425" spans="19:19" x14ac:dyDescent="0.3">
      <c r="S425" s="5">
        <f t="shared" si="7"/>
        <v>0</v>
      </c>
    </row>
    <row r="426" spans="19:19" x14ac:dyDescent="0.3">
      <c r="S426" s="5">
        <f t="shared" si="7"/>
        <v>0</v>
      </c>
    </row>
    <row r="427" spans="19:19" x14ac:dyDescent="0.3">
      <c r="S427" s="5">
        <f t="shared" si="7"/>
        <v>0</v>
      </c>
    </row>
    <row r="428" spans="19:19" x14ac:dyDescent="0.3">
      <c r="S428" s="5">
        <f t="shared" si="7"/>
        <v>0</v>
      </c>
    </row>
    <row r="429" spans="19:19" x14ac:dyDescent="0.3">
      <c r="S429" s="5">
        <f t="shared" si="7"/>
        <v>0</v>
      </c>
    </row>
    <row r="430" spans="19:19" x14ac:dyDescent="0.3">
      <c r="S430" s="5">
        <f t="shared" si="7"/>
        <v>0</v>
      </c>
    </row>
    <row r="431" spans="19:19" x14ac:dyDescent="0.3">
      <c r="S431" s="5">
        <f t="shared" si="7"/>
        <v>0</v>
      </c>
    </row>
    <row r="432" spans="19:19" x14ac:dyDescent="0.3">
      <c r="S432" s="5">
        <f t="shared" si="7"/>
        <v>0</v>
      </c>
    </row>
    <row r="433" spans="19:19" x14ac:dyDescent="0.3">
      <c r="S433" s="5">
        <f t="shared" si="7"/>
        <v>0</v>
      </c>
    </row>
    <row r="434" spans="19:19" x14ac:dyDescent="0.3">
      <c r="S434" s="5">
        <f t="shared" si="7"/>
        <v>0</v>
      </c>
    </row>
    <row r="435" spans="19:19" x14ac:dyDescent="0.3">
      <c r="S435" s="5">
        <f t="shared" si="7"/>
        <v>0</v>
      </c>
    </row>
    <row r="436" spans="19:19" x14ac:dyDescent="0.3">
      <c r="S436" s="5">
        <f t="shared" si="7"/>
        <v>0</v>
      </c>
    </row>
    <row r="437" spans="19:19" x14ac:dyDescent="0.3">
      <c r="S437" s="5">
        <f t="shared" si="7"/>
        <v>0</v>
      </c>
    </row>
    <row r="438" spans="19:19" x14ac:dyDescent="0.3">
      <c r="S438" s="5">
        <f t="shared" si="7"/>
        <v>0</v>
      </c>
    </row>
    <row r="439" spans="19:19" x14ac:dyDescent="0.3">
      <c r="S439" s="5">
        <f t="shared" si="7"/>
        <v>0</v>
      </c>
    </row>
    <row r="440" spans="19:19" x14ac:dyDescent="0.3">
      <c r="S440" s="5">
        <f t="shared" si="7"/>
        <v>0</v>
      </c>
    </row>
    <row r="441" spans="19:19" x14ac:dyDescent="0.3">
      <c r="S441" s="5">
        <f t="shared" si="7"/>
        <v>0</v>
      </c>
    </row>
    <row r="442" spans="19:19" x14ac:dyDescent="0.3">
      <c r="S442" s="5">
        <f t="shared" si="7"/>
        <v>0</v>
      </c>
    </row>
    <row r="443" spans="19:19" x14ac:dyDescent="0.3">
      <c r="S443" s="5">
        <f t="shared" si="7"/>
        <v>0</v>
      </c>
    </row>
    <row r="444" spans="19:19" x14ac:dyDescent="0.3">
      <c r="S444" s="5">
        <f t="shared" si="7"/>
        <v>0</v>
      </c>
    </row>
    <row r="445" spans="19:19" x14ac:dyDescent="0.3">
      <c r="S445" s="5">
        <f t="shared" si="7"/>
        <v>0</v>
      </c>
    </row>
    <row r="446" spans="19:19" x14ac:dyDescent="0.3">
      <c r="S446" s="5">
        <f t="shared" si="7"/>
        <v>0</v>
      </c>
    </row>
    <row r="447" spans="19:19" x14ac:dyDescent="0.3">
      <c r="S447" s="5">
        <f t="shared" si="7"/>
        <v>0</v>
      </c>
    </row>
    <row r="448" spans="19:19" x14ac:dyDescent="0.3">
      <c r="S448" s="5">
        <f t="shared" si="7"/>
        <v>0</v>
      </c>
    </row>
    <row r="449" spans="19:19" x14ac:dyDescent="0.3">
      <c r="S449" s="5">
        <f t="shared" si="7"/>
        <v>0</v>
      </c>
    </row>
    <row r="450" spans="19:19" x14ac:dyDescent="0.3">
      <c r="S450" s="5">
        <f t="shared" si="7"/>
        <v>0</v>
      </c>
    </row>
    <row r="451" spans="19:19" x14ac:dyDescent="0.3">
      <c r="S451" s="5">
        <f t="shared" si="7"/>
        <v>0</v>
      </c>
    </row>
    <row r="452" spans="19:19" x14ac:dyDescent="0.3">
      <c r="S452" s="5">
        <f t="shared" si="7"/>
        <v>0</v>
      </c>
    </row>
    <row r="453" spans="19:19" x14ac:dyDescent="0.3">
      <c r="S453" s="5">
        <f t="shared" si="7"/>
        <v>0</v>
      </c>
    </row>
    <row r="454" spans="19:19" x14ac:dyDescent="0.3">
      <c r="S454" s="5">
        <f t="shared" si="7"/>
        <v>0</v>
      </c>
    </row>
    <row r="455" spans="19:19" x14ac:dyDescent="0.3">
      <c r="S455" s="5">
        <f t="shared" si="7"/>
        <v>0</v>
      </c>
    </row>
    <row r="456" spans="19:19" x14ac:dyDescent="0.3">
      <c r="S456" s="5">
        <f t="shared" si="7"/>
        <v>0</v>
      </c>
    </row>
    <row r="457" spans="19:19" x14ac:dyDescent="0.3">
      <c r="S457" s="5">
        <f t="shared" si="7"/>
        <v>0</v>
      </c>
    </row>
    <row r="458" spans="19:19" x14ac:dyDescent="0.3">
      <c r="S458" s="5">
        <f t="shared" si="7"/>
        <v>0</v>
      </c>
    </row>
    <row r="459" spans="19:19" x14ac:dyDescent="0.3">
      <c r="S459" s="5">
        <f t="shared" si="7"/>
        <v>0</v>
      </c>
    </row>
    <row r="460" spans="19:19" x14ac:dyDescent="0.3">
      <c r="S460" s="5">
        <f t="shared" si="7"/>
        <v>0</v>
      </c>
    </row>
    <row r="461" spans="19:19" x14ac:dyDescent="0.3">
      <c r="S461" s="5">
        <f t="shared" si="7"/>
        <v>0</v>
      </c>
    </row>
    <row r="462" spans="19:19" x14ac:dyDescent="0.3">
      <c r="S462" s="5">
        <f t="shared" si="7"/>
        <v>0</v>
      </c>
    </row>
    <row r="463" spans="19:19" x14ac:dyDescent="0.3">
      <c r="S463" s="5">
        <f t="shared" si="7"/>
        <v>0</v>
      </c>
    </row>
    <row r="464" spans="19:19" x14ac:dyDescent="0.3">
      <c r="S464" s="5">
        <f t="shared" si="7"/>
        <v>0</v>
      </c>
    </row>
    <row r="465" spans="19:19" x14ac:dyDescent="0.3">
      <c r="S465" s="5">
        <f t="shared" si="7"/>
        <v>0</v>
      </c>
    </row>
    <row r="466" spans="19:19" x14ac:dyDescent="0.3">
      <c r="S466" s="5">
        <f t="shared" ref="S466:S529" si="8">SUM(N466:R466)</f>
        <v>0</v>
      </c>
    </row>
    <row r="467" spans="19:19" x14ac:dyDescent="0.3">
      <c r="S467" s="5">
        <f t="shared" si="8"/>
        <v>0</v>
      </c>
    </row>
    <row r="468" spans="19:19" x14ac:dyDescent="0.3">
      <c r="S468" s="5">
        <f t="shared" si="8"/>
        <v>0</v>
      </c>
    </row>
    <row r="469" spans="19:19" x14ac:dyDescent="0.3">
      <c r="S469" s="5">
        <f t="shared" si="8"/>
        <v>0</v>
      </c>
    </row>
    <row r="470" spans="19:19" x14ac:dyDescent="0.3">
      <c r="S470" s="5">
        <f t="shared" si="8"/>
        <v>0</v>
      </c>
    </row>
    <row r="471" spans="19:19" x14ac:dyDescent="0.3">
      <c r="S471" s="5">
        <f t="shared" si="8"/>
        <v>0</v>
      </c>
    </row>
    <row r="472" spans="19:19" x14ac:dyDescent="0.3">
      <c r="S472" s="5">
        <f t="shared" si="8"/>
        <v>0</v>
      </c>
    </row>
    <row r="473" spans="19:19" x14ac:dyDescent="0.3">
      <c r="S473" s="5">
        <f t="shared" si="8"/>
        <v>0</v>
      </c>
    </row>
    <row r="474" spans="19:19" x14ac:dyDescent="0.3">
      <c r="S474" s="5">
        <f t="shared" si="8"/>
        <v>0</v>
      </c>
    </row>
    <row r="475" spans="19:19" x14ac:dyDescent="0.3">
      <c r="S475" s="5">
        <f t="shared" si="8"/>
        <v>0</v>
      </c>
    </row>
    <row r="476" spans="19:19" x14ac:dyDescent="0.3">
      <c r="S476" s="5">
        <f t="shared" si="8"/>
        <v>0</v>
      </c>
    </row>
    <row r="477" spans="19:19" x14ac:dyDescent="0.3">
      <c r="S477" s="5">
        <f t="shared" si="8"/>
        <v>0</v>
      </c>
    </row>
    <row r="478" spans="19:19" x14ac:dyDescent="0.3">
      <c r="S478" s="5">
        <f t="shared" si="8"/>
        <v>0</v>
      </c>
    </row>
    <row r="479" spans="19:19" x14ac:dyDescent="0.3">
      <c r="S479" s="5">
        <f t="shared" si="8"/>
        <v>0</v>
      </c>
    </row>
    <row r="480" spans="19:19" x14ac:dyDescent="0.3">
      <c r="S480" s="5">
        <f t="shared" si="8"/>
        <v>0</v>
      </c>
    </row>
    <row r="481" spans="19:19" x14ac:dyDescent="0.3">
      <c r="S481" s="5">
        <f t="shared" si="8"/>
        <v>0</v>
      </c>
    </row>
    <row r="482" spans="19:19" x14ac:dyDescent="0.3">
      <c r="S482" s="5">
        <f t="shared" si="8"/>
        <v>0</v>
      </c>
    </row>
    <row r="483" spans="19:19" x14ac:dyDescent="0.3">
      <c r="S483" s="5">
        <f t="shared" si="8"/>
        <v>0</v>
      </c>
    </row>
    <row r="484" spans="19:19" x14ac:dyDescent="0.3">
      <c r="S484" s="5">
        <f t="shared" si="8"/>
        <v>0</v>
      </c>
    </row>
    <row r="485" spans="19:19" x14ac:dyDescent="0.3">
      <c r="S485" s="5">
        <f t="shared" si="8"/>
        <v>0</v>
      </c>
    </row>
    <row r="486" spans="19:19" x14ac:dyDescent="0.3">
      <c r="S486" s="5">
        <f t="shared" si="8"/>
        <v>0</v>
      </c>
    </row>
    <row r="487" spans="19:19" x14ac:dyDescent="0.3">
      <c r="S487" s="5">
        <f t="shared" si="8"/>
        <v>0</v>
      </c>
    </row>
    <row r="488" spans="19:19" x14ac:dyDescent="0.3">
      <c r="S488" s="5">
        <f t="shared" si="8"/>
        <v>0</v>
      </c>
    </row>
    <row r="489" spans="19:19" x14ac:dyDescent="0.3">
      <c r="S489" s="5">
        <f t="shared" si="8"/>
        <v>0</v>
      </c>
    </row>
    <row r="490" spans="19:19" x14ac:dyDescent="0.3">
      <c r="S490" s="5">
        <f t="shared" si="8"/>
        <v>0</v>
      </c>
    </row>
    <row r="491" spans="19:19" x14ac:dyDescent="0.3">
      <c r="S491" s="5">
        <f t="shared" si="8"/>
        <v>0</v>
      </c>
    </row>
    <row r="492" spans="19:19" x14ac:dyDescent="0.3">
      <c r="S492" s="5">
        <f t="shared" si="8"/>
        <v>0</v>
      </c>
    </row>
    <row r="493" spans="19:19" x14ac:dyDescent="0.3">
      <c r="S493" s="5">
        <f t="shared" si="8"/>
        <v>0</v>
      </c>
    </row>
    <row r="494" spans="19:19" x14ac:dyDescent="0.3">
      <c r="S494" s="5">
        <f t="shared" si="8"/>
        <v>0</v>
      </c>
    </row>
    <row r="495" spans="19:19" x14ac:dyDescent="0.3">
      <c r="S495" s="5">
        <f t="shared" si="8"/>
        <v>0</v>
      </c>
    </row>
    <row r="496" spans="19:19" x14ac:dyDescent="0.3">
      <c r="S496" s="5">
        <f t="shared" si="8"/>
        <v>0</v>
      </c>
    </row>
    <row r="497" spans="19:19" x14ac:dyDescent="0.3">
      <c r="S497" s="5">
        <f t="shared" si="8"/>
        <v>0</v>
      </c>
    </row>
    <row r="498" spans="19:19" x14ac:dyDescent="0.3">
      <c r="S498" s="5">
        <f t="shared" si="8"/>
        <v>0</v>
      </c>
    </row>
    <row r="499" spans="19:19" x14ac:dyDescent="0.3">
      <c r="S499" s="5">
        <f t="shared" si="8"/>
        <v>0</v>
      </c>
    </row>
    <row r="500" spans="19:19" x14ac:dyDescent="0.3">
      <c r="S500" s="5">
        <f t="shared" si="8"/>
        <v>0</v>
      </c>
    </row>
    <row r="501" spans="19:19" x14ac:dyDescent="0.3">
      <c r="S501" s="5">
        <f t="shared" si="8"/>
        <v>0</v>
      </c>
    </row>
    <row r="502" spans="19:19" x14ac:dyDescent="0.3">
      <c r="S502" s="5">
        <f t="shared" si="8"/>
        <v>0</v>
      </c>
    </row>
    <row r="503" spans="19:19" x14ac:dyDescent="0.3">
      <c r="S503" s="5">
        <f t="shared" si="8"/>
        <v>0</v>
      </c>
    </row>
    <row r="504" spans="19:19" x14ac:dyDescent="0.3">
      <c r="S504" s="5">
        <f t="shared" si="8"/>
        <v>0</v>
      </c>
    </row>
    <row r="505" spans="19:19" x14ac:dyDescent="0.3">
      <c r="S505" s="5">
        <f t="shared" si="8"/>
        <v>0</v>
      </c>
    </row>
    <row r="506" spans="19:19" x14ac:dyDescent="0.3">
      <c r="S506" s="5">
        <f t="shared" si="8"/>
        <v>0</v>
      </c>
    </row>
    <row r="507" spans="19:19" x14ac:dyDescent="0.3">
      <c r="S507" s="5">
        <f t="shared" si="8"/>
        <v>0</v>
      </c>
    </row>
    <row r="508" spans="19:19" x14ac:dyDescent="0.3">
      <c r="S508" s="5">
        <f t="shared" si="8"/>
        <v>0</v>
      </c>
    </row>
    <row r="509" spans="19:19" x14ac:dyDescent="0.3">
      <c r="S509" s="5">
        <f t="shared" si="8"/>
        <v>0</v>
      </c>
    </row>
    <row r="510" spans="19:19" x14ac:dyDescent="0.3">
      <c r="S510" s="5">
        <f t="shared" si="8"/>
        <v>0</v>
      </c>
    </row>
    <row r="511" spans="19:19" x14ac:dyDescent="0.3">
      <c r="S511" s="5">
        <f t="shared" si="8"/>
        <v>0</v>
      </c>
    </row>
    <row r="512" spans="19:19" x14ac:dyDescent="0.3">
      <c r="S512" s="5">
        <f t="shared" si="8"/>
        <v>0</v>
      </c>
    </row>
    <row r="513" spans="19:19" x14ac:dyDescent="0.3">
      <c r="S513" s="5">
        <f t="shared" si="8"/>
        <v>0</v>
      </c>
    </row>
    <row r="514" spans="19:19" x14ac:dyDescent="0.3">
      <c r="S514" s="5">
        <f t="shared" si="8"/>
        <v>0</v>
      </c>
    </row>
    <row r="515" spans="19:19" x14ac:dyDescent="0.3">
      <c r="S515" s="5">
        <f t="shared" si="8"/>
        <v>0</v>
      </c>
    </row>
    <row r="516" spans="19:19" x14ac:dyDescent="0.3">
      <c r="S516" s="5">
        <f t="shared" si="8"/>
        <v>0</v>
      </c>
    </row>
    <row r="517" spans="19:19" x14ac:dyDescent="0.3">
      <c r="S517" s="5">
        <f t="shared" si="8"/>
        <v>0</v>
      </c>
    </row>
    <row r="518" spans="19:19" x14ac:dyDescent="0.3">
      <c r="S518" s="5">
        <f t="shared" si="8"/>
        <v>0</v>
      </c>
    </row>
    <row r="519" spans="19:19" x14ac:dyDescent="0.3">
      <c r="S519" s="5">
        <f t="shared" si="8"/>
        <v>0</v>
      </c>
    </row>
    <row r="520" spans="19:19" x14ac:dyDescent="0.3">
      <c r="S520" s="5">
        <f t="shared" si="8"/>
        <v>0</v>
      </c>
    </row>
    <row r="521" spans="19:19" x14ac:dyDescent="0.3">
      <c r="S521" s="5">
        <f t="shared" si="8"/>
        <v>0</v>
      </c>
    </row>
    <row r="522" spans="19:19" x14ac:dyDescent="0.3">
      <c r="S522" s="5">
        <f t="shared" si="8"/>
        <v>0</v>
      </c>
    </row>
    <row r="523" spans="19:19" x14ac:dyDescent="0.3">
      <c r="S523" s="5">
        <f t="shared" si="8"/>
        <v>0</v>
      </c>
    </row>
    <row r="524" spans="19:19" x14ac:dyDescent="0.3">
      <c r="S524" s="5">
        <f t="shared" si="8"/>
        <v>0</v>
      </c>
    </row>
    <row r="525" spans="19:19" x14ac:dyDescent="0.3">
      <c r="S525" s="5">
        <f t="shared" si="8"/>
        <v>0</v>
      </c>
    </row>
    <row r="526" spans="19:19" x14ac:dyDescent="0.3">
      <c r="S526" s="5">
        <f t="shared" si="8"/>
        <v>0</v>
      </c>
    </row>
    <row r="527" spans="19:19" x14ac:dyDescent="0.3">
      <c r="S527" s="5">
        <f t="shared" si="8"/>
        <v>0</v>
      </c>
    </row>
    <row r="528" spans="19:19" x14ac:dyDescent="0.3">
      <c r="S528" s="5">
        <f t="shared" si="8"/>
        <v>0</v>
      </c>
    </row>
    <row r="529" spans="19:19" x14ac:dyDescent="0.3">
      <c r="S529" s="5">
        <f t="shared" si="8"/>
        <v>0</v>
      </c>
    </row>
    <row r="530" spans="19:19" x14ac:dyDescent="0.3">
      <c r="S530" s="5">
        <f t="shared" ref="S530:S538" si="9">SUM(N530:R530)</f>
        <v>0</v>
      </c>
    </row>
    <row r="531" spans="19:19" x14ac:dyDescent="0.3">
      <c r="S531" s="5">
        <f t="shared" si="9"/>
        <v>0</v>
      </c>
    </row>
    <row r="532" spans="19:19" x14ac:dyDescent="0.3">
      <c r="S532" s="5">
        <f t="shared" si="9"/>
        <v>0</v>
      </c>
    </row>
    <row r="533" spans="19:19" x14ac:dyDescent="0.3">
      <c r="S533" s="5">
        <f t="shared" si="9"/>
        <v>0</v>
      </c>
    </row>
    <row r="534" spans="19:19" x14ac:dyDescent="0.3">
      <c r="S534" s="5">
        <f t="shared" si="9"/>
        <v>0</v>
      </c>
    </row>
    <row r="535" spans="19:19" x14ac:dyDescent="0.3">
      <c r="S535" s="5">
        <f t="shared" si="9"/>
        <v>0</v>
      </c>
    </row>
    <row r="536" spans="19:19" x14ac:dyDescent="0.3">
      <c r="S536" s="5">
        <f t="shared" si="9"/>
        <v>0</v>
      </c>
    </row>
    <row r="537" spans="19:19" x14ac:dyDescent="0.3">
      <c r="S537" s="5">
        <f t="shared" si="9"/>
        <v>0</v>
      </c>
    </row>
    <row r="538" spans="19:19" x14ac:dyDescent="0.3">
      <c r="S538" s="5">
        <f t="shared" si="9"/>
        <v>0</v>
      </c>
    </row>
  </sheetData>
  <autoFilter ref="A1:S538" xr:uid="{00000000-0001-0000-00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A42F-E253-48E8-BA23-9B3F83D10CDA}">
  <sheetPr>
    <tabColor theme="7" tint="0.39997558519241921"/>
  </sheetPr>
  <dimension ref="A1:U534"/>
  <sheetViews>
    <sheetView tabSelected="1" workbookViewId="0">
      <pane ySplit="1" topLeftCell="A43" activePane="bottomLeft" state="frozen"/>
      <selection pane="bottomLeft" activeCell="D65" sqref="D65"/>
    </sheetView>
  </sheetViews>
  <sheetFormatPr defaultColWidth="8.88671875" defaultRowHeight="14.4" x14ac:dyDescent="0.3"/>
  <cols>
    <col min="1" max="1" width="23.6640625" style="58" customWidth="1"/>
    <col min="2" max="2" width="17.33203125" style="58" customWidth="1"/>
    <col min="3" max="3" width="40.33203125" style="58" bestFit="1" customWidth="1"/>
    <col min="4" max="4" width="13.44140625" style="58" customWidth="1"/>
    <col min="5" max="5" width="14.33203125" style="58" customWidth="1"/>
    <col min="6" max="6" width="12.109375" style="58" customWidth="1"/>
    <col min="7" max="7" width="11.44140625" style="58" customWidth="1"/>
    <col min="8" max="8" width="7.6640625" style="58" customWidth="1"/>
    <col min="9" max="9" width="14.109375" style="58" customWidth="1"/>
    <col min="10" max="10" width="11.5546875" style="58" customWidth="1"/>
    <col min="11" max="11" width="12.33203125" style="58" bestFit="1" customWidth="1"/>
    <col min="12" max="12" width="8.88671875" style="58"/>
    <col min="13" max="13" width="12.44140625" style="58" bestFit="1" customWidth="1"/>
    <col min="14" max="14" width="9.33203125" style="58" customWidth="1"/>
    <col min="15" max="16" width="8.88671875" style="58"/>
    <col min="17" max="17" width="8.6640625" style="58" customWidth="1"/>
    <col min="18" max="18" width="8.88671875" style="58"/>
    <col min="19" max="19" width="8.88671875" style="60"/>
    <col min="20" max="16384" width="8.88671875" style="58"/>
  </cols>
  <sheetData>
    <row r="1" spans="1:21" ht="28.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7"/>
      <c r="U1" s="59"/>
    </row>
    <row r="2" spans="1:21" ht="28.8" x14ac:dyDescent="0.3">
      <c r="A2" s="58" t="s">
        <v>80</v>
      </c>
      <c r="B2" s="58" t="s">
        <v>25</v>
      </c>
      <c r="C2" s="59" t="s">
        <v>81</v>
      </c>
      <c r="E2" s="61">
        <v>45692</v>
      </c>
      <c r="F2" s="61">
        <v>45692</v>
      </c>
      <c r="G2" s="61">
        <v>45692</v>
      </c>
      <c r="H2" s="58">
        <v>1</v>
      </c>
      <c r="I2" s="58" t="s">
        <v>54</v>
      </c>
      <c r="J2" s="58" t="s">
        <v>55</v>
      </c>
      <c r="L2" s="58">
        <v>15</v>
      </c>
      <c r="N2" s="58">
        <v>503</v>
      </c>
      <c r="O2" s="58">
        <v>57.5</v>
      </c>
      <c r="Q2" s="58">
        <v>602</v>
      </c>
      <c r="R2" s="58">
        <v>100</v>
      </c>
      <c r="S2" s="60">
        <f>SUM(N2:R2)</f>
        <v>1262.5</v>
      </c>
    </row>
    <row r="3" spans="1:21" x14ac:dyDescent="0.3">
      <c r="A3" s="58" t="s">
        <v>82</v>
      </c>
      <c r="B3" s="58" t="s">
        <v>25</v>
      </c>
      <c r="C3" s="59" t="s">
        <v>83</v>
      </c>
      <c r="D3" s="58" t="s">
        <v>84</v>
      </c>
      <c r="E3" s="58" t="s">
        <v>85</v>
      </c>
      <c r="F3" s="61">
        <v>45705</v>
      </c>
      <c r="G3" s="61">
        <v>45707</v>
      </c>
      <c r="H3" s="58">
        <v>3</v>
      </c>
      <c r="I3" s="58" t="s">
        <v>54</v>
      </c>
      <c r="J3" s="58" t="s">
        <v>65</v>
      </c>
      <c r="L3" s="58">
        <v>102</v>
      </c>
      <c r="N3" s="58">
        <v>1005</v>
      </c>
      <c r="O3" s="58">
        <v>172.5</v>
      </c>
      <c r="S3" s="60">
        <f t="shared" ref="S3:S37" si="0">SUM(N3:R3)</f>
        <v>1177.5</v>
      </c>
    </row>
    <row r="4" spans="1:21" x14ac:dyDescent="0.3">
      <c r="A4" s="58" t="s">
        <v>86</v>
      </c>
      <c r="B4" s="58" t="s">
        <v>22</v>
      </c>
      <c r="C4" s="59" t="s">
        <v>87</v>
      </c>
      <c r="E4" s="61" t="s">
        <v>88</v>
      </c>
      <c r="F4" s="61">
        <v>45708</v>
      </c>
      <c r="G4" s="61">
        <v>45711</v>
      </c>
      <c r="H4" s="58">
        <v>3</v>
      </c>
      <c r="I4" s="58" t="s">
        <v>102</v>
      </c>
      <c r="J4" s="58" t="s">
        <v>55</v>
      </c>
      <c r="L4" s="58">
        <v>103</v>
      </c>
      <c r="O4" s="58">
        <v>853</v>
      </c>
      <c r="P4" s="58">
        <v>749</v>
      </c>
      <c r="Q4" s="58">
        <v>2132</v>
      </c>
      <c r="R4" s="58">
        <v>200</v>
      </c>
      <c r="S4" s="60">
        <f t="shared" si="0"/>
        <v>3934</v>
      </c>
    </row>
    <row r="5" spans="1:21" x14ac:dyDescent="0.3">
      <c r="A5" s="58" t="s">
        <v>111</v>
      </c>
      <c r="B5" s="58" t="s">
        <v>22</v>
      </c>
      <c r="C5" s="59" t="s">
        <v>214</v>
      </c>
      <c r="E5" s="61">
        <v>45716</v>
      </c>
      <c r="F5" s="61">
        <v>45716</v>
      </c>
      <c r="G5" s="61">
        <v>45716</v>
      </c>
      <c r="H5" s="58">
        <v>1</v>
      </c>
      <c r="N5" s="58">
        <v>3152</v>
      </c>
      <c r="S5" s="60">
        <f t="shared" si="0"/>
        <v>3152</v>
      </c>
    </row>
    <row r="6" spans="1:21" ht="43.2" x14ac:dyDescent="0.3">
      <c r="B6" s="58" t="s">
        <v>22</v>
      </c>
      <c r="C6" s="59" t="s">
        <v>215</v>
      </c>
      <c r="E6" s="61">
        <v>45716</v>
      </c>
      <c r="F6" s="61">
        <v>45716</v>
      </c>
      <c r="G6" s="61">
        <v>45716</v>
      </c>
      <c r="H6" s="58">
        <v>1</v>
      </c>
      <c r="N6" s="58">
        <v>14200</v>
      </c>
      <c r="S6" s="60">
        <f t="shared" si="0"/>
        <v>14200</v>
      </c>
    </row>
    <row r="7" spans="1:21" x14ac:dyDescent="0.3">
      <c r="A7" s="58" t="s">
        <v>111</v>
      </c>
      <c r="B7" s="58" t="s">
        <v>22</v>
      </c>
      <c r="C7" s="59" t="s">
        <v>112</v>
      </c>
      <c r="E7" s="58" t="s">
        <v>113</v>
      </c>
      <c r="F7" s="61">
        <v>45733</v>
      </c>
      <c r="G7" s="61">
        <v>45734</v>
      </c>
      <c r="H7" s="58">
        <v>2</v>
      </c>
      <c r="I7" s="58" t="s">
        <v>114</v>
      </c>
      <c r="J7" s="58" t="s">
        <v>55</v>
      </c>
      <c r="L7" s="58">
        <v>338</v>
      </c>
      <c r="O7" s="58">
        <v>232.5</v>
      </c>
      <c r="Q7" s="58">
        <v>616</v>
      </c>
      <c r="R7" s="58">
        <v>100</v>
      </c>
      <c r="S7" s="60">
        <f t="shared" si="0"/>
        <v>948.5</v>
      </c>
    </row>
    <row r="8" spans="1:21" x14ac:dyDescent="0.3">
      <c r="A8" s="58" t="s">
        <v>115</v>
      </c>
      <c r="B8" s="58" t="s">
        <v>22</v>
      </c>
      <c r="C8" s="58" t="s">
        <v>112</v>
      </c>
      <c r="E8" s="58" t="s">
        <v>113</v>
      </c>
      <c r="F8" s="61">
        <v>45733</v>
      </c>
      <c r="G8" s="61">
        <v>45734</v>
      </c>
      <c r="H8" s="58">
        <v>2</v>
      </c>
      <c r="I8" s="58" t="s">
        <v>114</v>
      </c>
      <c r="J8" s="58" t="s">
        <v>55</v>
      </c>
      <c r="L8" s="58">
        <v>339</v>
      </c>
      <c r="O8" s="58">
        <v>232.5</v>
      </c>
      <c r="Q8" s="58">
        <v>616</v>
      </c>
      <c r="R8" s="58">
        <v>100</v>
      </c>
      <c r="S8" s="60">
        <f t="shared" si="0"/>
        <v>948.5</v>
      </c>
    </row>
    <row r="9" spans="1:21" x14ac:dyDescent="0.3">
      <c r="A9" s="58" t="s">
        <v>116</v>
      </c>
      <c r="B9" s="58" t="s">
        <v>25</v>
      </c>
      <c r="C9" s="58" t="s">
        <v>112</v>
      </c>
      <c r="E9" s="58" t="s">
        <v>113</v>
      </c>
      <c r="F9" s="61">
        <v>45733</v>
      </c>
      <c r="G9" s="61">
        <v>45734</v>
      </c>
      <c r="H9" s="58">
        <v>2</v>
      </c>
      <c r="I9" s="58" t="s">
        <v>114</v>
      </c>
      <c r="J9" s="58" t="s">
        <v>55</v>
      </c>
      <c r="L9" s="58">
        <v>340</v>
      </c>
      <c r="O9" s="58">
        <v>232.5</v>
      </c>
      <c r="Q9" s="58">
        <v>616</v>
      </c>
      <c r="R9" s="58">
        <v>100</v>
      </c>
      <c r="S9" s="60">
        <f t="shared" si="0"/>
        <v>948.5</v>
      </c>
    </row>
    <row r="10" spans="1:21" x14ac:dyDescent="0.3">
      <c r="A10" s="58" t="s">
        <v>61</v>
      </c>
      <c r="B10" s="58" t="s">
        <v>25</v>
      </c>
      <c r="C10" s="59" t="s">
        <v>117</v>
      </c>
      <c r="D10" s="58" t="s">
        <v>118</v>
      </c>
      <c r="E10" s="58" t="s">
        <v>119</v>
      </c>
      <c r="F10" s="61">
        <v>45740</v>
      </c>
      <c r="G10" s="61">
        <v>45744</v>
      </c>
      <c r="H10" s="58">
        <v>4</v>
      </c>
      <c r="I10" s="58" t="s">
        <v>54</v>
      </c>
      <c r="J10" s="58" t="s">
        <v>65</v>
      </c>
      <c r="L10" s="58">
        <v>411</v>
      </c>
      <c r="N10" s="58">
        <v>2011</v>
      </c>
      <c r="O10" s="58">
        <v>230</v>
      </c>
      <c r="P10" s="58">
        <v>1807</v>
      </c>
      <c r="S10" s="60">
        <f t="shared" si="0"/>
        <v>4048</v>
      </c>
    </row>
    <row r="11" spans="1:21" ht="28.8" x14ac:dyDescent="0.3">
      <c r="A11" s="58" t="s">
        <v>120</v>
      </c>
      <c r="B11" s="58" t="s">
        <v>25</v>
      </c>
      <c r="C11" s="59" t="s">
        <v>121</v>
      </c>
      <c r="D11" s="59" t="s">
        <v>122</v>
      </c>
      <c r="E11" s="58" t="s">
        <v>123</v>
      </c>
      <c r="F11" s="61">
        <v>45742</v>
      </c>
      <c r="G11" s="61">
        <v>45744</v>
      </c>
      <c r="H11" s="58">
        <v>3</v>
      </c>
      <c r="I11" s="58" t="s">
        <v>54</v>
      </c>
      <c r="J11" s="58" t="s">
        <v>65</v>
      </c>
      <c r="L11" s="58">
        <v>441</v>
      </c>
      <c r="N11" s="58">
        <v>1005</v>
      </c>
      <c r="O11" s="58">
        <v>172.5</v>
      </c>
      <c r="P11" s="58">
        <v>895</v>
      </c>
      <c r="S11" s="60">
        <f t="shared" si="0"/>
        <v>2072.5</v>
      </c>
    </row>
    <row r="12" spans="1:21" x14ac:dyDescent="0.3">
      <c r="A12" s="58" t="s">
        <v>111</v>
      </c>
      <c r="B12" s="58" t="s">
        <v>22</v>
      </c>
      <c r="C12" s="59" t="s">
        <v>216</v>
      </c>
      <c r="D12" s="59"/>
      <c r="E12" s="61">
        <v>45747</v>
      </c>
      <c r="F12" s="61">
        <v>45747</v>
      </c>
      <c r="G12" s="61">
        <v>45747</v>
      </c>
      <c r="H12" s="58">
        <v>1</v>
      </c>
      <c r="N12" s="58">
        <v>3546</v>
      </c>
      <c r="S12" s="60">
        <f t="shared" si="0"/>
        <v>3546</v>
      </c>
    </row>
    <row r="13" spans="1:21" x14ac:dyDescent="0.3">
      <c r="A13" s="58" t="s">
        <v>111</v>
      </c>
      <c r="B13" s="58" t="s">
        <v>22</v>
      </c>
      <c r="C13" s="58" t="s">
        <v>59</v>
      </c>
      <c r="E13" s="61">
        <v>45749</v>
      </c>
      <c r="F13" s="61">
        <v>45749</v>
      </c>
      <c r="G13" s="61">
        <v>45749</v>
      </c>
      <c r="H13" s="58">
        <v>1</v>
      </c>
      <c r="I13" s="58" t="s">
        <v>54</v>
      </c>
      <c r="J13" s="58" t="s">
        <v>55</v>
      </c>
      <c r="L13" s="58">
        <v>488</v>
      </c>
      <c r="O13" s="58">
        <v>57.5</v>
      </c>
      <c r="P13" s="58">
        <v>616</v>
      </c>
      <c r="R13" s="58">
        <v>100</v>
      </c>
      <c r="S13" s="60">
        <f t="shared" si="0"/>
        <v>773.5</v>
      </c>
    </row>
    <row r="14" spans="1:21" x14ac:dyDescent="0.3">
      <c r="A14" s="58" t="s">
        <v>124</v>
      </c>
      <c r="B14" s="58" t="s">
        <v>25</v>
      </c>
      <c r="C14" s="59" t="s">
        <v>125</v>
      </c>
      <c r="D14" s="58" t="s">
        <v>126</v>
      </c>
      <c r="E14" s="58" t="s">
        <v>127</v>
      </c>
      <c r="F14" s="61">
        <v>45770</v>
      </c>
      <c r="G14" s="61">
        <v>45772</v>
      </c>
      <c r="H14" s="58">
        <v>3</v>
      </c>
      <c r="I14" s="58" t="s">
        <v>54</v>
      </c>
      <c r="J14" s="58" t="s">
        <v>55</v>
      </c>
      <c r="L14" s="58">
        <v>646</v>
      </c>
      <c r="N14" s="58">
        <v>1508</v>
      </c>
      <c r="O14" s="58">
        <v>172.5</v>
      </c>
      <c r="P14" s="58">
        <v>904</v>
      </c>
      <c r="Q14" s="58">
        <v>616</v>
      </c>
      <c r="R14" s="58">
        <v>150</v>
      </c>
      <c r="S14" s="60">
        <f t="shared" si="0"/>
        <v>3350.5</v>
      </c>
    </row>
    <row r="15" spans="1:21" ht="28.8" x14ac:dyDescent="0.3">
      <c r="A15" s="58" t="s">
        <v>80</v>
      </c>
      <c r="B15" s="58" t="s">
        <v>25</v>
      </c>
      <c r="C15" s="59" t="s">
        <v>108</v>
      </c>
      <c r="D15" s="58" t="s">
        <v>109</v>
      </c>
      <c r="E15" s="58" t="s">
        <v>110</v>
      </c>
      <c r="F15" s="61">
        <v>45776</v>
      </c>
      <c r="G15" s="61">
        <v>45777</v>
      </c>
      <c r="H15" s="58">
        <v>2</v>
      </c>
      <c r="I15" s="58" t="s">
        <v>54</v>
      </c>
      <c r="J15" s="58" t="s">
        <v>55</v>
      </c>
      <c r="L15" s="58">
        <v>693</v>
      </c>
      <c r="N15" s="58">
        <v>1905</v>
      </c>
      <c r="O15" s="58">
        <v>115</v>
      </c>
      <c r="P15" s="58">
        <v>452</v>
      </c>
      <c r="Q15" s="58">
        <v>616</v>
      </c>
      <c r="R15" s="58">
        <v>300</v>
      </c>
      <c r="S15" s="60">
        <f t="shared" si="0"/>
        <v>3388</v>
      </c>
    </row>
    <row r="16" spans="1:21" x14ac:dyDescent="0.3">
      <c r="A16" s="58" t="s">
        <v>217</v>
      </c>
      <c r="B16" s="58" t="s">
        <v>25</v>
      </c>
      <c r="C16" s="59" t="s">
        <v>218</v>
      </c>
      <c r="E16" s="61">
        <v>45784</v>
      </c>
      <c r="F16" s="61">
        <v>45784</v>
      </c>
      <c r="G16" s="61">
        <v>45784</v>
      </c>
      <c r="H16" s="58">
        <v>1</v>
      </c>
      <c r="N16" s="58">
        <v>950</v>
      </c>
      <c r="S16" s="60">
        <f t="shared" si="0"/>
        <v>950</v>
      </c>
    </row>
    <row r="17" spans="1:19" ht="28.8" x14ac:dyDescent="0.3">
      <c r="A17" s="58" t="s">
        <v>82</v>
      </c>
      <c r="B17" s="58" t="s">
        <v>25</v>
      </c>
      <c r="C17" s="59" t="s">
        <v>128</v>
      </c>
      <c r="D17" s="59" t="s">
        <v>129</v>
      </c>
      <c r="E17" s="58" t="s">
        <v>130</v>
      </c>
      <c r="F17" s="61">
        <v>45782</v>
      </c>
      <c r="G17" s="61">
        <v>45785</v>
      </c>
      <c r="H17" s="58">
        <v>4</v>
      </c>
      <c r="I17" s="58" t="s">
        <v>54</v>
      </c>
      <c r="J17" s="58" t="s">
        <v>55</v>
      </c>
      <c r="L17" s="58">
        <v>629</v>
      </c>
      <c r="N17" s="58">
        <v>1550</v>
      </c>
      <c r="O17" s="58">
        <v>230</v>
      </c>
      <c r="S17" s="60">
        <f t="shared" si="0"/>
        <v>1780</v>
      </c>
    </row>
    <row r="18" spans="1:19" ht="28.8" x14ac:dyDescent="0.3">
      <c r="A18" s="58" t="s">
        <v>61</v>
      </c>
      <c r="B18" s="58" t="s">
        <v>25</v>
      </c>
      <c r="C18" s="59" t="s">
        <v>131</v>
      </c>
      <c r="D18" s="59" t="s">
        <v>132</v>
      </c>
      <c r="E18" s="58" t="s">
        <v>133</v>
      </c>
      <c r="F18" s="61">
        <v>45806</v>
      </c>
      <c r="G18" s="61">
        <v>45807</v>
      </c>
      <c r="H18" s="58">
        <v>2</v>
      </c>
      <c r="I18" s="58" t="s">
        <v>54</v>
      </c>
      <c r="J18" s="58" t="s">
        <v>55</v>
      </c>
      <c r="L18" s="58">
        <v>893</v>
      </c>
      <c r="N18" s="58">
        <v>1550</v>
      </c>
      <c r="O18" s="58">
        <v>115</v>
      </c>
      <c r="P18" s="58">
        <v>459</v>
      </c>
      <c r="Q18" s="58">
        <v>616</v>
      </c>
      <c r="R18" s="58">
        <v>200</v>
      </c>
      <c r="S18" s="60">
        <f t="shared" si="0"/>
        <v>2940</v>
      </c>
    </row>
    <row r="19" spans="1:19" x14ac:dyDescent="0.3">
      <c r="A19" s="58" t="s">
        <v>149</v>
      </c>
      <c r="B19" s="58" t="s">
        <v>25</v>
      </c>
      <c r="C19" s="59" t="s">
        <v>150</v>
      </c>
      <c r="E19" s="58" t="s">
        <v>151</v>
      </c>
      <c r="F19" s="61">
        <v>45789</v>
      </c>
      <c r="G19" s="61">
        <v>45792</v>
      </c>
      <c r="H19" s="58">
        <v>4</v>
      </c>
      <c r="I19" s="58" t="s">
        <v>54</v>
      </c>
      <c r="J19" s="58" t="s">
        <v>65</v>
      </c>
      <c r="L19" s="58">
        <v>783</v>
      </c>
      <c r="O19" s="58">
        <v>230</v>
      </c>
      <c r="P19" s="58">
        <v>193</v>
      </c>
      <c r="S19" s="60">
        <f t="shared" si="0"/>
        <v>423</v>
      </c>
    </row>
    <row r="20" spans="1:19" x14ac:dyDescent="0.3">
      <c r="A20" s="58" t="s">
        <v>152</v>
      </c>
      <c r="B20" s="58" t="s">
        <v>25</v>
      </c>
      <c r="C20" s="59" t="s">
        <v>150</v>
      </c>
      <c r="E20" s="58" t="s">
        <v>151</v>
      </c>
      <c r="F20" s="61">
        <v>45789</v>
      </c>
      <c r="G20" s="61">
        <v>45792</v>
      </c>
      <c r="H20" s="58">
        <v>4</v>
      </c>
      <c r="I20" s="58" t="s">
        <v>54</v>
      </c>
      <c r="J20" s="58" t="s">
        <v>65</v>
      </c>
      <c r="L20" s="58">
        <v>782</v>
      </c>
      <c r="O20" s="58">
        <v>230</v>
      </c>
      <c r="P20" s="58">
        <v>193</v>
      </c>
      <c r="S20" s="60">
        <f t="shared" si="0"/>
        <v>423</v>
      </c>
    </row>
    <row r="21" spans="1:19" x14ac:dyDescent="0.3">
      <c r="A21" s="58" t="s">
        <v>153</v>
      </c>
      <c r="B21" s="58" t="s">
        <v>22</v>
      </c>
      <c r="C21" s="58" t="s">
        <v>155</v>
      </c>
      <c r="E21" s="58" t="s">
        <v>156</v>
      </c>
      <c r="F21" s="61">
        <v>45789</v>
      </c>
      <c r="G21" s="61">
        <v>45792</v>
      </c>
      <c r="H21" s="58">
        <v>4</v>
      </c>
      <c r="I21" s="58" t="s">
        <v>157</v>
      </c>
      <c r="J21" s="58" t="s">
        <v>65</v>
      </c>
      <c r="L21" s="58">
        <v>839</v>
      </c>
      <c r="N21" s="58">
        <v>2075</v>
      </c>
      <c r="O21" s="58">
        <v>230</v>
      </c>
      <c r="S21" s="60">
        <f t="shared" si="0"/>
        <v>2305</v>
      </c>
    </row>
    <row r="22" spans="1:19" x14ac:dyDescent="0.3">
      <c r="A22" s="58" t="s">
        <v>154</v>
      </c>
      <c r="B22" s="58" t="s">
        <v>22</v>
      </c>
      <c r="C22" s="58" t="s">
        <v>155</v>
      </c>
      <c r="E22" s="58" t="s">
        <v>156</v>
      </c>
      <c r="F22" s="61">
        <v>45789</v>
      </c>
      <c r="G22" s="61">
        <v>45792</v>
      </c>
      <c r="H22" s="58">
        <v>4</v>
      </c>
      <c r="I22" s="58" t="s">
        <v>157</v>
      </c>
      <c r="J22" s="58" t="s">
        <v>65</v>
      </c>
      <c r="L22" s="58">
        <v>840</v>
      </c>
      <c r="N22" s="58">
        <v>2075</v>
      </c>
      <c r="O22" s="58">
        <v>230</v>
      </c>
      <c r="S22" s="60">
        <f t="shared" si="0"/>
        <v>2305</v>
      </c>
    </row>
    <row r="23" spans="1:19" x14ac:dyDescent="0.3">
      <c r="A23" s="58" t="s">
        <v>111</v>
      </c>
      <c r="B23" s="58" t="s">
        <v>22</v>
      </c>
      <c r="C23" s="58" t="s">
        <v>214</v>
      </c>
      <c r="E23" s="61">
        <v>45793</v>
      </c>
      <c r="F23" s="61">
        <v>45793</v>
      </c>
      <c r="G23" s="61">
        <v>45793</v>
      </c>
      <c r="H23" s="58">
        <v>1</v>
      </c>
      <c r="N23" s="58">
        <v>3546</v>
      </c>
      <c r="S23" s="60">
        <f t="shared" si="0"/>
        <v>3546</v>
      </c>
    </row>
    <row r="24" spans="1:19" ht="28.8" x14ac:dyDescent="0.3">
      <c r="A24" s="58" t="s">
        <v>111</v>
      </c>
      <c r="B24" s="58" t="s">
        <v>22</v>
      </c>
      <c r="C24" s="58" t="s">
        <v>164</v>
      </c>
      <c r="E24" s="59" t="s">
        <v>165</v>
      </c>
      <c r="F24" s="61">
        <v>45806</v>
      </c>
      <c r="G24" s="61">
        <v>45810</v>
      </c>
      <c r="H24" s="58">
        <v>5</v>
      </c>
      <c r="I24" s="58" t="s">
        <v>166</v>
      </c>
      <c r="J24" s="58" t="s">
        <v>55</v>
      </c>
      <c r="L24" s="58">
        <v>924</v>
      </c>
      <c r="O24" s="58">
        <v>643.84</v>
      </c>
      <c r="S24" s="60">
        <f t="shared" si="0"/>
        <v>643.84</v>
      </c>
    </row>
    <row r="25" spans="1:19" x14ac:dyDescent="0.3">
      <c r="A25" s="58" t="s">
        <v>111</v>
      </c>
      <c r="B25" s="58" t="s">
        <v>22</v>
      </c>
      <c r="C25" s="58" t="s">
        <v>174</v>
      </c>
      <c r="E25" s="61">
        <v>45811</v>
      </c>
      <c r="F25" s="61">
        <v>45811</v>
      </c>
      <c r="G25" s="61">
        <v>45811</v>
      </c>
      <c r="H25" s="58">
        <v>1</v>
      </c>
      <c r="I25" s="58" t="s">
        <v>54</v>
      </c>
      <c r="J25" s="58" t="s">
        <v>55</v>
      </c>
      <c r="L25" s="58">
        <v>927</v>
      </c>
      <c r="O25" s="58">
        <v>57.5</v>
      </c>
      <c r="Q25" s="58">
        <v>732</v>
      </c>
      <c r="R25" s="58">
        <v>100</v>
      </c>
      <c r="S25" s="60">
        <f t="shared" si="0"/>
        <v>889.5</v>
      </c>
    </row>
    <row r="26" spans="1:19" x14ac:dyDescent="0.3">
      <c r="A26" s="58" t="s">
        <v>115</v>
      </c>
      <c r="B26" s="58" t="s">
        <v>22</v>
      </c>
      <c r="C26" s="58" t="s">
        <v>174</v>
      </c>
      <c r="E26" s="61">
        <v>45811</v>
      </c>
      <c r="F26" s="61">
        <v>45811</v>
      </c>
      <c r="G26" s="61">
        <v>45811</v>
      </c>
      <c r="H26" s="58">
        <v>1</v>
      </c>
      <c r="I26" s="58" t="s">
        <v>54</v>
      </c>
      <c r="J26" s="58" t="s">
        <v>55</v>
      </c>
      <c r="L26" s="58">
        <v>928</v>
      </c>
      <c r="O26" s="58">
        <v>57.5</v>
      </c>
      <c r="Q26" s="58">
        <v>732</v>
      </c>
      <c r="R26" s="58">
        <v>100</v>
      </c>
      <c r="S26" s="60">
        <f t="shared" si="0"/>
        <v>889.5</v>
      </c>
    </row>
    <row r="27" spans="1:19" ht="28.8" x14ac:dyDescent="0.3">
      <c r="A27" s="58" t="s">
        <v>175</v>
      </c>
      <c r="B27" s="59" t="s">
        <v>26</v>
      </c>
      <c r="C27" s="58" t="s">
        <v>176</v>
      </c>
      <c r="E27" s="58" t="s">
        <v>177</v>
      </c>
      <c r="F27" s="61">
        <v>45812</v>
      </c>
      <c r="G27" s="61">
        <v>45814</v>
      </c>
      <c r="H27" s="58">
        <v>2</v>
      </c>
      <c r="I27" s="58" t="s">
        <v>178</v>
      </c>
      <c r="J27" s="58" t="s">
        <v>65</v>
      </c>
      <c r="L27" s="58">
        <v>962</v>
      </c>
      <c r="O27" s="58">
        <v>115</v>
      </c>
      <c r="S27" s="60">
        <f t="shared" si="0"/>
        <v>115</v>
      </c>
    </row>
    <row r="28" spans="1:19" x14ac:dyDescent="0.3">
      <c r="A28" s="58" t="s">
        <v>111</v>
      </c>
      <c r="B28" s="59" t="s">
        <v>22</v>
      </c>
      <c r="C28" s="58" t="s">
        <v>222</v>
      </c>
      <c r="E28" s="61">
        <v>45813</v>
      </c>
      <c r="F28" s="61">
        <v>45813</v>
      </c>
      <c r="G28" s="61">
        <v>45813</v>
      </c>
      <c r="H28" s="58">
        <v>1</v>
      </c>
      <c r="N28" s="58">
        <v>8342</v>
      </c>
      <c r="S28" s="60">
        <f t="shared" si="0"/>
        <v>8342</v>
      </c>
    </row>
    <row r="29" spans="1:19" x14ac:dyDescent="0.3">
      <c r="A29" s="58" t="s">
        <v>223</v>
      </c>
      <c r="B29" s="59" t="s">
        <v>25</v>
      </c>
      <c r="C29" s="58" t="s">
        <v>222</v>
      </c>
      <c r="E29" s="61">
        <v>45813</v>
      </c>
      <c r="F29" s="61">
        <v>45813</v>
      </c>
      <c r="G29" s="61">
        <v>45813</v>
      </c>
      <c r="H29" s="58">
        <v>1</v>
      </c>
      <c r="N29" s="58">
        <v>2781</v>
      </c>
      <c r="S29" s="60">
        <f t="shared" si="0"/>
        <v>2781</v>
      </c>
    </row>
    <row r="30" spans="1:19" x14ac:dyDescent="0.3">
      <c r="A30" s="58" t="s">
        <v>61</v>
      </c>
      <c r="B30" s="58" t="s">
        <v>25</v>
      </c>
      <c r="C30" s="59" t="s">
        <v>179</v>
      </c>
      <c r="D30" s="58" t="s">
        <v>180</v>
      </c>
      <c r="E30" s="58" t="s">
        <v>181</v>
      </c>
      <c r="F30" s="61">
        <v>45824</v>
      </c>
      <c r="G30" s="61">
        <v>45828</v>
      </c>
      <c r="H30" s="58">
        <v>5</v>
      </c>
      <c r="I30" s="58" t="s">
        <v>54</v>
      </c>
      <c r="J30" s="58" t="s">
        <v>65</v>
      </c>
      <c r="L30" s="58">
        <v>1034</v>
      </c>
      <c r="N30" s="58">
        <v>2500</v>
      </c>
      <c r="O30" s="58">
        <v>287.5</v>
      </c>
      <c r="P30" s="58">
        <v>1025</v>
      </c>
      <c r="S30" s="60">
        <f t="shared" si="0"/>
        <v>3812.5</v>
      </c>
    </row>
    <row r="31" spans="1:19" x14ac:dyDescent="0.3">
      <c r="A31" s="58" t="s">
        <v>149</v>
      </c>
      <c r="B31" s="58" t="s">
        <v>25</v>
      </c>
      <c r="C31" s="58" t="s">
        <v>182</v>
      </c>
      <c r="E31" s="58" t="s">
        <v>183</v>
      </c>
      <c r="F31" s="61">
        <v>45831</v>
      </c>
      <c r="G31" s="61">
        <v>45834</v>
      </c>
      <c r="H31" s="58">
        <v>4</v>
      </c>
      <c r="I31" s="58" t="s">
        <v>54</v>
      </c>
      <c r="J31" s="58" t="s">
        <v>65</v>
      </c>
      <c r="L31" s="58">
        <v>1137</v>
      </c>
      <c r="O31" s="58">
        <v>230</v>
      </c>
      <c r="P31" s="58">
        <v>675</v>
      </c>
      <c r="S31" s="60">
        <f t="shared" si="0"/>
        <v>905</v>
      </c>
    </row>
    <row r="32" spans="1:19" x14ac:dyDescent="0.3">
      <c r="A32" s="58" t="s">
        <v>152</v>
      </c>
      <c r="B32" s="58" t="s">
        <v>25</v>
      </c>
      <c r="C32" s="58" t="s">
        <v>182</v>
      </c>
      <c r="E32" s="58" t="s">
        <v>183</v>
      </c>
      <c r="F32" s="61">
        <v>45831</v>
      </c>
      <c r="G32" s="61">
        <v>45834</v>
      </c>
      <c r="H32" s="58">
        <v>4</v>
      </c>
      <c r="I32" s="58" t="s">
        <v>54</v>
      </c>
      <c r="J32" s="58" t="s">
        <v>65</v>
      </c>
      <c r="L32" s="58">
        <v>1138</v>
      </c>
      <c r="O32" s="58">
        <v>230</v>
      </c>
      <c r="P32" s="58">
        <v>675</v>
      </c>
      <c r="S32" s="60">
        <f t="shared" si="0"/>
        <v>905</v>
      </c>
    </row>
    <row r="33" spans="1:19" x14ac:dyDescent="0.3">
      <c r="A33" s="58" t="s">
        <v>224</v>
      </c>
      <c r="B33" s="58" t="s">
        <v>22</v>
      </c>
      <c r="C33" s="58" t="s">
        <v>226</v>
      </c>
      <c r="E33" s="61">
        <v>45832</v>
      </c>
      <c r="F33" s="61">
        <v>45832</v>
      </c>
      <c r="G33" s="61">
        <v>45832</v>
      </c>
      <c r="H33" s="58">
        <v>1</v>
      </c>
      <c r="N33" s="58">
        <v>2075</v>
      </c>
      <c r="S33" s="60">
        <f t="shared" si="0"/>
        <v>2075</v>
      </c>
    </row>
    <row r="34" spans="1:19" x14ac:dyDescent="0.3">
      <c r="A34" s="58" t="s">
        <v>225</v>
      </c>
      <c r="B34" s="58" t="s">
        <v>22</v>
      </c>
      <c r="C34" s="58" t="s">
        <v>226</v>
      </c>
      <c r="E34" s="61">
        <v>45832</v>
      </c>
      <c r="F34" s="61">
        <v>45832</v>
      </c>
      <c r="G34" s="61">
        <v>45832</v>
      </c>
      <c r="H34" s="58">
        <v>1</v>
      </c>
      <c r="N34" s="58">
        <v>2075</v>
      </c>
      <c r="S34" s="60">
        <f t="shared" si="0"/>
        <v>2075</v>
      </c>
    </row>
    <row r="35" spans="1:19" x14ac:dyDescent="0.3">
      <c r="A35" s="58" t="s">
        <v>82</v>
      </c>
      <c r="B35" s="58" t="s">
        <v>25</v>
      </c>
      <c r="C35" s="58" t="s">
        <v>220</v>
      </c>
      <c r="D35" s="58" t="s">
        <v>221</v>
      </c>
      <c r="E35" s="61">
        <v>45849</v>
      </c>
      <c r="F35" s="61">
        <v>45848</v>
      </c>
      <c r="G35" s="61">
        <v>45849</v>
      </c>
      <c r="H35" s="58">
        <v>2</v>
      </c>
      <c r="I35" s="58" t="s">
        <v>54</v>
      </c>
      <c r="J35" s="58" t="s">
        <v>65</v>
      </c>
      <c r="N35" s="58">
        <v>512</v>
      </c>
      <c r="O35" s="58">
        <v>115</v>
      </c>
      <c r="S35" s="60">
        <f t="shared" si="0"/>
        <v>627</v>
      </c>
    </row>
    <row r="36" spans="1:19" x14ac:dyDescent="0.3">
      <c r="A36" s="58" t="s">
        <v>219</v>
      </c>
      <c r="B36" s="58" t="s">
        <v>25</v>
      </c>
      <c r="C36" s="58" t="s">
        <v>220</v>
      </c>
      <c r="D36" s="58" t="s">
        <v>221</v>
      </c>
      <c r="E36" s="61">
        <v>45849</v>
      </c>
      <c r="F36" s="61">
        <v>45848</v>
      </c>
      <c r="G36" s="61">
        <v>45849</v>
      </c>
      <c r="H36" s="58">
        <v>2</v>
      </c>
      <c r="I36" s="58" t="s">
        <v>54</v>
      </c>
      <c r="J36" s="58" t="s">
        <v>65</v>
      </c>
      <c r="N36" s="58">
        <v>512</v>
      </c>
      <c r="O36" s="58">
        <v>115</v>
      </c>
      <c r="S36" s="60">
        <f t="shared" si="0"/>
        <v>627</v>
      </c>
    </row>
    <row r="37" spans="1:19" ht="28.8" x14ac:dyDescent="0.3">
      <c r="A37" s="58" t="s">
        <v>61</v>
      </c>
      <c r="B37" s="58" t="s">
        <v>25</v>
      </c>
      <c r="C37" s="59" t="s">
        <v>184</v>
      </c>
      <c r="D37" s="58" t="s">
        <v>185</v>
      </c>
      <c r="E37" s="61">
        <v>45855</v>
      </c>
      <c r="F37" s="61">
        <v>45854</v>
      </c>
      <c r="G37" s="61">
        <v>45855</v>
      </c>
      <c r="H37" s="58">
        <v>2</v>
      </c>
      <c r="I37" s="58" t="s">
        <v>54</v>
      </c>
      <c r="N37" s="58">
        <v>512</v>
      </c>
      <c r="O37" s="58">
        <v>115</v>
      </c>
      <c r="P37" s="58">
        <v>228</v>
      </c>
      <c r="S37" s="60">
        <f t="shared" si="0"/>
        <v>855</v>
      </c>
    </row>
    <row r="38" spans="1:19" x14ac:dyDescent="0.3">
      <c r="A38" s="58" t="s">
        <v>153</v>
      </c>
      <c r="B38" s="58" t="s">
        <v>22</v>
      </c>
      <c r="C38" s="58" t="s">
        <v>264</v>
      </c>
      <c r="E38" s="58" t="s">
        <v>265</v>
      </c>
      <c r="F38" s="61">
        <v>45880</v>
      </c>
      <c r="G38" s="61">
        <v>45883</v>
      </c>
      <c r="H38" s="58">
        <v>4</v>
      </c>
      <c r="I38" s="58" t="s">
        <v>157</v>
      </c>
      <c r="J38" s="58" t="s">
        <v>65</v>
      </c>
      <c r="O38" s="58">
        <v>230</v>
      </c>
      <c r="S38" s="60">
        <f t="shared" ref="S38:S77" si="1">SUM(N38:R38)</f>
        <v>230</v>
      </c>
    </row>
    <row r="39" spans="1:19" x14ac:dyDescent="0.3">
      <c r="A39" s="58" t="s">
        <v>224</v>
      </c>
      <c r="B39" s="58" t="s">
        <v>22</v>
      </c>
      <c r="C39" s="58" t="s">
        <v>264</v>
      </c>
      <c r="E39" s="58" t="s">
        <v>265</v>
      </c>
      <c r="F39" s="61">
        <v>45880</v>
      </c>
      <c r="G39" s="61">
        <v>45883</v>
      </c>
      <c r="H39" s="58">
        <v>4</v>
      </c>
      <c r="I39" s="58" t="s">
        <v>157</v>
      </c>
      <c r="J39" s="58" t="s">
        <v>65</v>
      </c>
      <c r="O39" s="58">
        <v>230</v>
      </c>
      <c r="S39" s="60">
        <f t="shared" si="1"/>
        <v>230</v>
      </c>
    </row>
    <row r="40" spans="1:19" x14ac:dyDescent="0.3">
      <c r="A40" s="58" t="s">
        <v>111</v>
      </c>
      <c r="B40" s="58" t="s">
        <v>22</v>
      </c>
      <c r="C40" s="58" t="s">
        <v>266</v>
      </c>
      <c r="E40" s="61">
        <v>45870</v>
      </c>
      <c r="F40" s="61">
        <v>45870</v>
      </c>
      <c r="G40" s="61">
        <v>45870</v>
      </c>
      <c r="H40" s="58">
        <v>1</v>
      </c>
      <c r="I40" s="58" t="s">
        <v>54</v>
      </c>
      <c r="J40" s="58" t="s">
        <v>55</v>
      </c>
      <c r="O40" s="58">
        <v>57.5</v>
      </c>
      <c r="S40" s="60">
        <f t="shared" si="1"/>
        <v>57.5</v>
      </c>
    </row>
    <row r="41" spans="1:19" ht="28.8" x14ac:dyDescent="0.3">
      <c r="A41" s="58" t="s">
        <v>61</v>
      </c>
      <c r="B41" s="58" t="s">
        <v>25</v>
      </c>
      <c r="C41" s="59" t="s">
        <v>267</v>
      </c>
      <c r="D41" s="58" t="s">
        <v>268</v>
      </c>
      <c r="E41" s="58" t="s">
        <v>269</v>
      </c>
      <c r="F41" s="61">
        <v>45903</v>
      </c>
      <c r="G41" s="61">
        <v>45905</v>
      </c>
      <c r="H41" s="58">
        <v>3</v>
      </c>
      <c r="I41" s="58" t="s">
        <v>54</v>
      </c>
      <c r="O41" s="58">
        <v>172.5</v>
      </c>
      <c r="S41" s="60">
        <f t="shared" si="1"/>
        <v>172.5</v>
      </c>
    </row>
    <row r="42" spans="1:19" ht="28.8" x14ac:dyDescent="0.3">
      <c r="A42" s="58" t="s">
        <v>270</v>
      </c>
      <c r="B42" s="58" t="s">
        <v>25</v>
      </c>
      <c r="C42" s="59" t="s">
        <v>271</v>
      </c>
      <c r="E42" s="61">
        <v>45916</v>
      </c>
      <c r="F42" s="61">
        <v>45916</v>
      </c>
      <c r="G42" s="61">
        <v>45916</v>
      </c>
      <c r="H42" s="58">
        <v>1</v>
      </c>
      <c r="I42" s="58" t="s">
        <v>54</v>
      </c>
      <c r="J42" s="58" t="s">
        <v>55</v>
      </c>
      <c r="O42" s="58">
        <v>57.5</v>
      </c>
      <c r="Q42" s="58">
        <v>605</v>
      </c>
      <c r="S42" s="60">
        <f t="shared" si="1"/>
        <v>662.5</v>
      </c>
    </row>
    <row r="43" spans="1:19" ht="28.8" x14ac:dyDescent="0.3">
      <c r="A43" s="58" t="s">
        <v>270</v>
      </c>
      <c r="B43" s="58" t="s">
        <v>25</v>
      </c>
      <c r="C43" s="59" t="s">
        <v>272</v>
      </c>
      <c r="D43" s="58" t="s">
        <v>273</v>
      </c>
      <c r="E43" s="58" t="s">
        <v>274</v>
      </c>
      <c r="F43" s="61">
        <v>45923</v>
      </c>
      <c r="G43" s="61">
        <v>45926</v>
      </c>
      <c r="H43" s="58">
        <v>4</v>
      </c>
      <c r="I43" s="58" t="s">
        <v>54</v>
      </c>
      <c r="O43" s="58">
        <v>230</v>
      </c>
      <c r="S43" s="60">
        <f t="shared" si="1"/>
        <v>230</v>
      </c>
    </row>
    <row r="44" spans="1:19" x14ac:dyDescent="0.3">
      <c r="A44" s="58" t="s">
        <v>153</v>
      </c>
      <c r="B44" s="58" t="s">
        <v>22</v>
      </c>
      <c r="C44" s="58" t="s">
        <v>275</v>
      </c>
      <c r="E44" s="58" t="s">
        <v>276</v>
      </c>
      <c r="F44" s="61">
        <v>45943</v>
      </c>
      <c r="G44" s="61">
        <v>45945</v>
      </c>
      <c r="H44" s="58">
        <v>3</v>
      </c>
      <c r="I44" s="58" t="s">
        <v>54</v>
      </c>
      <c r="N44" s="58">
        <v>1850</v>
      </c>
      <c r="O44" s="58">
        <v>172.5</v>
      </c>
      <c r="S44" s="60">
        <f t="shared" si="1"/>
        <v>2022.5</v>
      </c>
    </row>
    <row r="45" spans="1:19" x14ac:dyDescent="0.3">
      <c r="A45" s="58" t="s">
        <v>224</v>
      </c>
      <c r="B45" s="58" t="s">
        <v>22</v>
      </c>
      <c r="C45" s="58" t="s">
        <v>275</v>
      </c>
      <c r="E45" s="58" t="s">
        <v>276</v>
      </c>
      <c r="F45" s="61">
        <v>45943</v>
      </c>
      <c r="G45" s="61">
        <v>45945</v>
      </c>
      <c r="H45" s="58">
        <v>3</v>
      </c>
      <c r="I45" s="58" t="s">
        <v>54</v>
      </c>
      <c r="N45" s="58">
        <v>1850</v>
      </c>
      <c r="O45" s="58">
        <v>172.5</v>
      </c>
      <c r="S45" s="60">
        <f t="shared" si="1"/>
        <v>2022.5</v>
      </c>
    </row>
    <row r="46" spans="1:19" x14ac:dyDescent="0.3">
      <c r="A46" s="58" t="s">
        <v>111</v>
      </c>
      <c r="B46" s="58" t="s">
        <v>22</v>
      </c>
      <c r="C46" s="58" t="s">
        <v>278</v>
      </c>
      <c r="E46" s="58" t="s">
        <v>279</v>
      </c>
      <c r="F46" s="61">
        <v>45951</v>
      </c>
      <c r="G46" s="61">
        <v>45952</v>
      </c>
      <c r="H46" s="58">
        <v>1</v>
      </c>
      <c r="I46" s="58" t="s">
        <v>157</v>
      </c>
      <c r="O46" s="58">
        <v>57.5</v>
      </c>
      <c r="P46" s="58">
        <v>460</v>
      </c>
      <c r="S46" s="60">
        <f t="shared" si="1"/>
        <v>517.5</v>
      </c>
    </row>
    <row r="47" spans="1:19" x14ac:dyDescent="0.3">
      <c r="A47" s="58" t="s">
        <v>86</v>
      </c>
      <c r="B47" s="58" t="s">
        <v>22</v>
      </c>
      <c r="C47" s="58" t="s">
        <v>278</v>
      </c>
      <c r="E47" s="58" t="s">
        <v>279</v>
      </c>
      <c r="F47" s="61">
        <v>45951</v>
      </c>
      <c r="G47" s="61">
        <v>45952</v>
      </c>
      <c r="H47" s="58">
        <v>1</v>
      </c>
      <c r="I47" s="58" t="s">
        <v>157</v>
      </c>
      <c r="O47" s="58">
        <v>57.5</v>
      </c>
      <c r="P47" s="58">
        <v>268</v>
      </c>
      <c r="S47" s="60">
        <f t="shared" si="1"/>
        <v>325.5</v>
      </c>
    </row>
    <row r="48" spans="1:19" x14ac:dyDescent="0.3">
      <c r="A48" s="58" t="s">
        <v>277</v>
      </c>
      <c r="B48" s="58" t="s">
        <v>22</v>
      </c>
      <c r="C48" s="58" t="s">
        <v>278</v>
      </c>
      <c r="E48" s="58" t="s">
        <v>279</v>
      </c>
      <c r="F48" s="61">
        <v>45951</v>
      </c>
      <c r="G48" s="61">
        <v>45952</v>
      </c>
      <c r="H48" s="58">
        <v>1</v>
      </c>
      <c r="I48" s="58" t="s">
        <v>157</v>
      </c>
      <c r="O48" s="58">
        <v>57.5</v>
      </c>
      <c r="P48" s="58">
        <v>268</v>
      </c>
      <c r="S48" s="60">
        <f t="shared" si="1"/>
        <v>325.5</v>
      </c>
    </row>
    <row r="49" spans="1:19" x14ac:dyDescent="0.3">
      <c r="A49" s="58" t="s">
        <v>336</v>
      </c>
      <c r="B49" s="58" t="s">
        <v>25</v>
      </c>
      <c r="C49" s="58" t="s">
        <v>312</v>
      </c>
      <c r="E49" s="58" t="s">
        <v>313</v>
      </c>
      <c r="F49" s="58" t="s">
        <v>314</v>
      </c>
      <c r="G49" s="58" t="s">
        <v>315</v>
      </c>
      <c r="H49" s="58">
        <v>2</v>
      </c>
      <c r="I49" s="58" t="s">
        <v>54</v>
      </c>
      <c r="O49" s="58">
        <v>172.5</v>
      </c>
      <c r="P49" s="58">
        <v>1000</v>
      </c>
      <c r="S49" s="60">
        <f t="shared" si="1"/>
        <v>1172.5</v>
      </c>
    </row>
    <row r="50" spans="1:19" x14ac:dyDescent="0.3">
      <c r="A50" s="58" t="s">
        <v>80</v>
      </c>
      <c r="B50" s="58" t="s">
        <v>25</v>
      </c>
      <c r="C50" s="58" t="s">
        <v>337</v>
      </c>
      <c r="D50" s="58" t="s">
        <v>338</v>
      </c>
      <c r="E50" s="58" t="s">
        <v>331</v>
      </c>
      <c r="F50" s="61">
        <v>45974</v>
      </c>
      <c r="G50" s="61">
        <v>45975</v>
      </c>
      <c r="H50" s="58">
        <v>2</v>
      </c>
      <c r="I50" s="58" t="s">
        <v>54</v>
      </c>
      <c r="S50" s="60">
        <f t="shared" si="1"/>
        <v>0</v>
      </c>
    </row>
    <row r="51" spans="1:19" x14ac:dyDescent="0.3">
      <c r="A51" s="58" t="s">
        <v>58</v>
      </c>
      <c r="B51" s="58" t="s">
        <v>22</v>
      </c>
      <c r="C51" s="58" t="s">
        <v>339</v>
      </c>
      <c r="E51" s="58" t="s">
        <v>340</v>
      </c>
      <c r="F51" s="61">
        <v>45971</v>
      </c>
      <c r="G51" s="61">
        <v>45972</v>
      </c>
      <c r="H51" s="58">
        <v>2</v>
      </c>
      <c r="I51" s="58" t="s">
        <v>344</v>
      </c>
      <c r="O51" s="58">
        <v>115</v>
      </c>
      <c r="S51" s="60">
        <f t="shared" si="1"/>
        <v>115</v>
      </c>
    </row>
    <row r="52" spans="1:19" x14ac:dyDescent="0.3">
      <c r="A52" s="58" t="s">
        <v>224</v>
      </c>
      <c r="B52" s="58" t="s">
        <v>22</v>
      </c>
      <c r="C52" s="58" t="s">
        <v>339</v>
      </c>
      <c r="E52" s="58" t="s">
        <v>340</v>
      </c>
      <c r="F52" s="61">
        <v>45971</v>
      </c>
      <c r="G52" s="61">
        <v>45972</v>
      </c>
      <c r="H52" s="58">
        <v>2</v>
      </c>
      <c r="I52" s="58" t="s">
        <v>344</v>
      </c>
      <c r="O52" s="58">
        <v>115</v>
      </c>
      <c r="S52" s="60">
        <f t="shared" si="1"/>
        <v>115</v>
      </c>
    </row>
    <row r="53" spans="1:19" x14ac:dyDescent="0.3">
      <c r="A53" s="58" t="s">
        <v>277</v>
      </c>
      <c r="B53" s="58" t="s">
        <v>22</v>
      </c>
      <c r="C53" s="58" t="s">
        <v>339</v>
      </c>
      <c r="E53" s="58" t="s">
        <v>340</v>
      </c>
      <c r="F53" s="61">
        <v>45971</v>
      </c>
      <c r="G53" s="61">
        <v>45972</v>
      </c>
      <c r="H53" s="58">
        <v>2</v>
      </c>
      <c r="I53" s="58" t="s">
        <v>344</v>
      </c>
      <c r="O53" s="58">
        <v>115</v>
      </c>
      <c r="S53" s="60">
        <f t="shared" si="1"/>
        <v>115</v>
      </c>
    </row>
    <row r="54" spans="1:19" x14ac:dyDescent="0.3">
      <c r="A54" s="58" t="s">
        <v>115</v>
      </c>
      <c r="B54" s="58" t="s">
        <v>22</v>
      </c>
      <c r="C54" s="58" t="s">
        <v>339</v>
      </c>
      <c r="E54" s="58" t="s">
        <v>340</v>
      </c>
      <c r="F54" s="61">
        <v>45971</v>
      </c>
      <c r="G54" s="61">
        <v>45972</v>
      </c>
      <c r="H54" s="58">
        <v>2</v>
      </c>
      <c r="I54" s="58" t="s">
        <v>344</v>
      </c>
      <c r="O54" s="58">
        <v>115</v>
      </c>
      <c r="S54" s="60">
        <f t="shared" si="1"/>
        <v>115</v>
      </c>
    </row>
    <row r="55" spans="1:19" x14ac:dyDescent="0.3">
      <c r="A55" s="58" t="s">
        <v>341</v>
      </c>
      <c r="B55" s="58" t="s">
        <v>22</v>
      </c>
      <c r="C55" s="58" t="s">
        <v>339</v>
      </c>
      <c r="E55" s="58" t="s">
        <v>340</v>
      </c>
      <c r="F55" s="61">
        <v>45971</v>
      </c>
      <c r="G55" s="61">
        <v>45972</v>
      </c>
      <c r="H55" s="58">
        <v>2</v>
      </c>
      <c r="I55" s="58" t="s">
        <v>344</v>
      </c>
      <c r="O55" s="58">
        <v>115</v>
      </c>
      <c r="S55" s="60">
        <f t="shared" si="1"/>
        <v>115</v>
      </c>
    </row>
    <row r="56" spans="1:19" x14ac:dyDescent="0.3">
      <c r="A56" s="58" t="s">
        <v>153</v>
      </c>
      <c r="B56" s="58" t="s">
        <v>22</v>
      </c>
      <c r="C56" s="58" t="s">
        <v>339</v>
      </c>
      <c r="E56" s="58" t="s">
        <v>340</v>
      </c>
      <c r="F56" s="61">
        <v>45971</v>
      </c>
      <c r="G56" s="61">
        <v>45972</v>
      </c>
      <c r="H56" s="58">
        <v>2</v>
      </c>
      <c r="I56" s="58" t="s">
        <v>344</v>
      </c>
      <c r="O56" s="58">
        <v>115</v>
      </c>
      <c r="S56" s="60">
        <f t="shared" si="1"/>
        <v>115</v>
      </c>
    </row>
    <row r="57" spans="1:19" x14ac:dyDescent="0.3">
      <c r="A57" s="58" t="s">
        <v>342</v>
      </c>
      <c r="B57" s="58" t="s">
        <v>22</v>
      </c>
      <c r="C57" s="58" t="s">
        <v>339</v>
      </c>
      <c r="E57" s="58" t="s">
        <v>340</v>
      </c>
      <c r="F57" s="61">
        <v>45971</v>
      </c>
      <c r="G57" s="61">
        <v>45972</v>
      </c>
      <c r="H57" s="58">
        <v>2</v>
      </c>
      <c r="I57" s="58" t="s">
        <v>344</v>
      </c>
      <c r="O57" s="58">
        <v>115</v>
      </c>
      <c r="S57" s="60">
        <f t="shared" si="1"/>
        <v>115</v>
      </c>
    </row>
    <row r="58" spans="1:19" x14ac:dyDescent="0.3">
      <c r="A58" s="58" t="s">
        <v>343</v>
      </c>
      <c r="B58" s="58" t="s">
        <v>22</v>
      </c>
      <c r="C58" s="58" t="s">
        <v>339</v>
      </c>
      <c r="E58" s="58" t="s">
        <v>340</v>
      </c>
      <c r="F58" s="61">
        <v>45971</v>
      </c>
      <c r="G58" s="61">
        <v>45972</v>
      </c>
      <c r="H58" s="58">
        <v>2</v>
      </c>
      <c r="I58" s="58" t="s">
        <v>344</v>
      </c>
      <c r="O58" s="58">
        <v>115</v>
      </c>
      <c r="S58" s="60">
        <f t="shared" si="1"/>
        <v>115</v>
      </c>
    </row>
    <row r="59" spans="1:19" x14ac:dyDescent="0.3">
      <c r="A59" s="58" t="s">
        <v>223</v>
      </c>
      <c r="B59" s="58" t="s">
        <v>25</v>
      </c>
      <c r="C59" s="58" t="s">
        <v>330</v>
      </c>
      <c r="E59" s="58" t="s">
        <v>331</v>
      </c>
      <c r="F59" s="61">
        <v>45974</v>
      </c>
      <c r="G59" s="61">
        <v>45975</v>
      </c>
      <c r="H59" s="58">
        <v>2</v>
      </c>
      <c r="I59" s="58" t="s">
        <v>143</v>
      </c>
      <c r="O59" s="58">
        <v>115</v>
      </c>
      <c r="S59" s="60">
        <f t="shared" si="1"/>
        <v>115</v>
      </c>
    </row>
    <row r="60" spans="1:19" x14ac:dyDescent="0.3">
      <c r="A60" s="58" t="s">
        <v>111</v>
      </c>
      <c r="B60" s="58" t="s">
        <v>22</v>
      </c>
      <c r="C60" s="58" t="s">
        <v>333</v>
      </c>
      <c r="E60" s="58" t="s">
        <v>334</v>
      </c>
      <c r="F60" s="61">
        <v>45999</v>
      </c>
      <c r="G60" s="61">
        <v>46000</v>
      </c>
      <c r="H60" s="58">
        <v>2</v>
      </c>
      <c r="I60" s="58" t="s">
        <v>54</v>
      </c>
      <c r="O60" s="58">
        <v>115</v>
      </c>
      <c r="S60" s="60">
        <f t="shared" si="1"/>
        <v>115</v>
      </c>
    </row>
    <row r="61" spans="1:19" x14ac:dyDescent="0.3">
      <c r="S61" s="60">
        <f t="shared" si="1"/>
        <v>0</v>
      </c>
    </row>
    <row r="62" spans="1:19" x14ac:dyDescent="0.3">
      <c r="S62" s="60">
        <f t="shared" si="1"/>
        <v>0</v>
      </c>
    </row>
    <row r="63" spans="1:19" x14ac:dyDescent="0.3">
      <c r="S63" s="60">
        <f t="shared" si="1"/>
        <v>0</v>
      </c>
    </row>
    <row r="64" spans="1:19" x14ac:dyDescent="0.3">
      <c r="S64" s="60">
        <f t="shared" si="1"/>
        <v>0</v>
      </c>
    </row>
    <row r="65" spans="19:19" x14ac:dyDescent="0.3">
      <c r="S65" s="60">
        <f t="shared" si="1"/>
        <v>0</v>
      </c>
    </row>
    <row r="66" spans="19:19" x14ac:dyDescent="0.3">
      <c r="S66" s="60">
        <f t="shared" si="1"/>
        <v>0</v>
      </c>
    </row>
    <row r="67" spans="19:19" x14ac:dyDescent="0.3">
      <c r="S67" s="60">
        <f t="shared" si="1"/>
        <v>0</v>
      </c>
    </row>
    <row r="68" spans="19:19" x14ac:dyDescent="0.3">
      <c r="S68" s="60">
        <f t="shared" si="1"/>
        <v>0</v>
      </c>
    </row>
    <row r="69" spans="19:19" x14ac:dyDescent="0.3">
      <c r="S69" s="60">
        <f t="shared" si="1"/>
        <v>0</v>
      </c>
    </row>
    <row r="70" spans="19:19" x14ac:dyDescent="0.3">
      <c r="S70" s="60">
        <f t="shared" si="1"/>
        <v>0</v>
      </c>
    </row>
    <row r="71" spans="19:19" x14ac:dyDescent="0.3">
      <c r="S71" s="60">
        <f t="shared" si="1"/>
        <v>0</v>
      </c>
    </row>
    <row r="72" spans="19:19" x14ac:dyDescent="0.3">
      <c r="S72" s="60">
        <f t="shared" si="1"/>
        <v>0</v>
      </c>
    </row>
    <row r="73" spans="19:19" x14ac:dyDescent="0.3">
      <c r="S73" s="60">
        <f t="shared" si="1"/>
        <v>0</v>
      </c>
    </row>
    <row r="74" spans="19:19" x14ac:dyDescent="0.3">
      <c r="S74" s="60">
        <f t="shared" si="1"/>
        <v>0</v>
      </c>
    </row>
    <row r="75" spans="19:19" x14ac:dyDescent="0.3">
      <c r="S75" s="60">
        <f t="shared" si="1"/>
        <v>0</v>
      </c>
    </row>
    <row r="76" spans="19:19" x14ac:dyDescent="0.3">
      <c r="S76" s="60">
        <f t="shared" si="1"/>
        <v>0</v>
      </c>
    </row>
    <row r="77" spans="19:19" x14ac:dyDescent="0.3">
      <c r="S77" s="60">
        <f t="shared" si="1"/>
        <v>0</v>
      </c>
    </row>
    <row r="78" spans="19:19" x14ac:dyDescent="0.3">
      <c r="S78" s="60">
        <f t="shared" ref="S78:S141" si="2">SUM(N78:R78)</f>
        <v>0</v>
      </c>
    </row>
    <row r="79" spans="19:19" x14ac:dyDescent="0.3">
      <c r="S79" s="60">
        <f t="shared" si="2"/>
        <v>0</v>
      </c>
    </row>
    <row r="80" spans="19:19" x14ac:dyDescent="0.3">
      <c r="S80" s="60">
        <f t="shared" si="2"/>
        <v>0</v>
      </c>
    </row>
    <row r="81" spans="19:19" x14ac:dyDescent="0.3">
      <c r="S81" s="60">
        <f t="shared" si="2"/>
        <v>0</v>
      </c>
    </row>
    <row r="82" spans="19:19" x14ac:dyDescent="0.3">
      <c r="S82" s="60">
        <f t="shared" si="2"/>
        <v>0</v>
      </c>
    </row>
    <row r="83" spans="19:19" x14ac:dyDescent="0.3">
      <c r="S83" s="60">
        <f t="shared" si="2"/>
        <v>0</v>
      </c>
    </row>
    <row r="84" spans="19:19" x14ac:dyDescent="0.3">
      <c r="S84" s="60">
        <f t="shared" si="2"/>
        <v>0</v>
      </c>
    </row>
    <row r="85" spans="19:19" x14ac:dyDescent="0.3">
      <c r="S85" s="60">
        <f t="shared" si="2"/>
        <v>0</v>
      </c>
    </row>
    <row r="86" spans="19:19" x14ac:dyDescent="0.3">
      <c r="S86" s="60">
        <f t="shared" si="2"/>
        <v>0</v>
      </c>
    </row>
    <row r="87" spans="19:19" x14ac:dyDescent="0.3">
      <c r="S87" s="60">
        <f t="shared" si="2"/>
        <v>0</v>
      </c>
    </row>
    <row r="88" spans="19:19" x14ac:dyDescent="0.3">
      <c r="S88" s="60">
        <f t="shared" si="2"/>
        <v>0</v>
      </c>
    </row>
    <row r="89" spans="19:19" x14ac:dyDescent="0.3">
      <c r="S89" s="60">
        <f t="shared" si="2"/>
        <v>0</v>
      </c>
    </row>
    <row r="90" spans="19:19" x14ac:dyDescent="0.3">
      <c r="S90" s="60">
        <f t="shared" si="2"/>
        <v>0</v>
      </c>
    </row>
    <row r="91" spans="19:19" x14ac:dyDescent="0.3">
      <c r="S91" s="60">
        <f t="shared" si="2"/>
        <v>0</v>
      </c>
    </row>
    <row r="92" spans="19:19" x14ac:dyDescent="0.3">
      <c r="S92" s="60">
        <f t="shared" si="2"/>
        <v>0</v>
      </c>
    </row>
    <row r="93" spans="19:19" x14ac:dyDescent="0.3">
      <c r="S93" s="60">
        <f t="shared" si="2"/>
        <v>0</v>
      </c>
    </row>
    <row r="94" spans="19:19" x14ac:dyDescent="0.3">
      <c r="S94" s="60">
        <f t="shared" si="2"/>
        <v>0</v>
      </c>
    </row>
    <row r="95" spans="19:19" x14ac:dyDescent="0.3">
      <c r="S95" s="60">
        <f t="shared" si="2"/>
        <v>0</v>
      </c>
    </row>
    <row r="96" spans="19:19" x14ac:dyDescent="0.3">
      <c r="S96" s="60">
        <f t="shared" si="2"/>
        <v>0</v>
      </c>
    </row>
    <row r="97" spans="19:19" x14ac:dyDescent="0.3">
      <c r="S97" s="60">
        <f t="shared" si="2"/>
        <v>0</v>
      </c>
    </row>
    <row r="98" spans="19:19" x14ac:dyDescent="0.3">
      <c r="S98" s="60">
        <f t="shared" si="2"/>
        <v>0</v>
      </c>
    </row>
    <row r="99" spans="19:19" x14ac:dyDescent="0.3">
      <c r="S99" s="60">
        <f t="shared" si="2"/>
        <v>0</v>
      </c>
    </row>
    <row r="100" spans="19:19" x14ac:dyDescent="0.3">
      <c r="S100" s="60">
        <f t="shared" si="2"/>
        <v>0</v>
      </c>
    </row>
    <row r="101" spans="19:19" x14ac:dyDescent="0.3">
      <c r="S101" s="60">
        <f t="shared" si="2"/>
        <v>0</v>
      </c>
    </row>
    <row r="102" spans="19:19" x14ac:dyDescent="0.3">
      <c r="S102" s="60">
        <f t="shared" si="2"/>
        <v>0</v>
      </c>
    </row>
    <row r="103" spans="19:19" x14ac:dyDescent="0.3">
      <c r="S103" s="60">
        <f t="shared" si="2"/>
        <v>0</v>
      </c>
    </row>
    <row r="104" spans="19:19" x14ac:dyDescent="0.3">
      <c r="S104" s="60">
        <f t="shared" si="2"/>
        <v>0</v>
      </c>
    </row>
    <row r="105" spans="19:19" x14ac:dyDescent="0.3">
      <c r="S105" s="60">
        <f t="shared" si="2"/>
        <v>0</v>
      </c>
    </row>
    <row r="106" spans="19:19" x14ac:dyDescent="0.3">
      <c r="S106" s="60">
        <f t="shared" si="2"/>
        <v>0</v>
      </c>
    </row>
    <row r="107" spans="19:19" x14ac:dyDescent="0.3">
      <c r="S107" s="60">
        <f t="shared" si="2"/>
        <v>0</v>
      </c>
    </row>
    <row r="108" spans="19:19" x14ac:dyDescent="0.3">
      <c r="S108" s="60">
        <f t="shared" si="2"/>
        <v>0</v>
      </c>
    </row>
    <row r="109" spans="19:19" x14ac:dyDescent="0.3">
      <c r="S109" s="60">
        <f t="shared" si="2"/>
        <v>0</v>
      </c>
    </row>
    <row r="110" spans="19:19" x14ac:dyDescent="0.3">
      <c r="S110" s="60">
        <f t="shared" si="2"/>
        <v>0</v>
      </c>
    </row>
    <row r="111" spans="19:19" x14ac:dyDescent="0.3">
      <c r="S111" s="60">
        <f t="shared" si="2"/>
        <v>0</v>
      </c>
    </row>
    <row r="112" spans="19:19" x14ac:dyDescent="0.3">
      <c r="S112" s="60">
        <f t="shared" si="2"/>
        <v>0</v>
      </c>
    </row>
    <row r="113" spans="19:19" x14ac:dyDescent="0.3">
      <c r="S113" s="60">
        <f t="shared" si="2"/>
        <v>0</v>
      </c>
    </row>
    <row r="114" spans="19:19" x14ac:dyDescent="0.3">
      <c r="S114" s="60">
        <f t="shared" si="2"/>
        <v>0</v>
      </c>
    </row>
    <row r="115" spans="19:19" x14ac:dyDescent="0.3">
      <c r="S115" s="60">
        <f t="shared" si="2"/>
        <v>0</v>
      </c>
    </row>
    <row r="116" spans="19:19" x14ac:dyDescent="0.3">
      <c r="S116" s="60">
        <f t="shared" si="2"/>
        <v>0</v>
      </c>
    </row>
    <row r="117" spans="19:19" x14ac:dyDescent="0.3">
      <c r="S117" s="60">
        <f t="shared" si="2"/>
        <v>0</v>
      </c>
    </row>
    <row r="118" spans="19:19" x14ac:dyDescent="0.3">
      <c r="S118" s="60">
        <f t="shared" si="2"/>
        <v>0</v>
      </c>
    </row>
    <row r="119" spans="19:19" x14ac:dyDescent="0.3">
      <c r="S119" s="60">
        <f t="shared" si="2"/>
        <v>0</v>
      </c>
    </row>
    <row r="120" spans="19:19" x14ac:dyDescent="0.3">
      <c r="S120" s="60">
        <f t="shared" si="2"/>
        <v>0</v>
      </c>
    </row>
    <row r="121" spans="19:19" x14ac:dyDescent="0.3">
      <c r="S121" s="60">
        <f t="shared" si="2"/>
        <v>0</v>
      </c>
    </row>
    <row r="122" spans="19:19" x14ac:dyDescent="0.3">
      <c r="S122" s="60">
        <f t="shared" si="2"/>
        <v>0</v>
      </c>
    </row>
    <row r="123" spans="19:19" x14ac:dyDescent="0.3">
      <c r="S123" s="60">
        <f t="shared" si="2"/>
        <v>0</v>
      </c>
    </row>
    <row r="124" spans="19:19" x14ac:dyDescent="0.3">
      <c r="S124" s="60">
        <f t="shared" si="2"/>
        <v>0</v>
      </c>
    </row>
    <row r="125" spans="19:19" x14ac:dyDescent="0.3">
      <c r="S125" s="60">
        <f t="shared" si="2"/>
        <v>0</v>
      </c>
    </row>
    <row r="126" spans="19:19" x14ac:dyDescent="0.3">
      <c r="S126" s="60">
        <f t="shared" si="2"/>
        <v>0</v>
      </c>
    </row>
    <row r="127" spans="19:19" x14ac:dyDescent="0.3">
      <c r="S127" s="60">
        <f t="shared" si="2"/>
        <v>0</v>
      </c>
    </row>
    <row r="128" spans="19:19" x14ac:dyDescent="0.3">
      <c r="S128" s="60">
        <f t="shared" si="2"/>
        <v>0</v>
      </c>
    </row>
    <row r="129" spans="19:19" x14ac:dyDescent="0.3">
      <c r="S129" s="60">
        <f t="shared" si="2"/>
        <v>0</v>
      </c>
    </row>
    <row r="130" spans="19:19" x14ac:dyDescent="0.3">
      <c r="S130" s="60">
        <f t="shared" si="2"/>
        <v>0</v>
      </c>
    </row>
    <row r="131" spans="19:19" x14ac:dyDescent="0.3">
      <c r="S131" s="60">
        <f t="shared" si="2"/>
        <v>0</v>
      </c>
    </row>
    <row r="132" spans="19:19" x14ac:dyDescent="0.3">
      <c r="S132" s="60">
        <f t="shared" si="2"/>
        <v>0</v>
      </c>
    </row>
    <row r="133" spans="19:19" x14ac:dyDescent="0.3">
      <c r="S133" s="60">
        <f t="shared" si="2"/>
        <v>0</v>
      </c>
    </row>
    <row r="134" spans="19:19" x14ac:dyDescent="0.3">
      <c r="S134" s="60">
        <f t="shared" si="2"/>
        <v>0</v>
      </c>
    </row>
    <row r="135" spans="19:19" x14ac:dyDescent="0.3">
      <c r="S135" s="60">
        <f t="shared" si="2"/>
        <v>0</v>
      </c>
    </row>
    <row r="136" spans="19:19" x14ac:dyDescent="0.3">
      <c r="S136" s="60">
        <f t="shared" si="2"/>
        <v>0</v>
      </c>
    </row>
    <row r="137" spans="19:19" x14ac:dyDescent="0.3">
      <c r="S137" s="60">
        <f t="shared" si="2"/>
        <v>0</v>
      </c>
    </row>
    <row r="138" spans="19:19" x14ac:dyDescent="0.3">
      <c r="S138" s="60">
        <f t="shared" si="2"/>
        <v>0</v>
      </c>
    </row>
    <row r="139" spans="19:19" x14ac:dyDescent="0.3">
      <c r="S139" s="60">
        <f t="shared" si="2"/>
        <v>0</v>
      </c>
    </row>
    <row r="140" spans="19:19" x14ac:dyDescent="0.3">
      <c r="S140" s="60">
        <f t="shared" si="2"/>
        <v>0</v>
      </c>
    </row>
    <row r="141" spans="19:19" x14ac:dyDescent="0.3">
      <c r="S141" s="60">
        <f t="shared" si="2"/>
        <v>0</v>
      </c>
    </row>
    <row r="142" spans="19:19" x14ac:dyDescent="0.3">
      <c r="S142" s="60">
        <f t="shared" ref="S142:S205" si="3">SUM(N142:R142)</f>
        <v>0</v>
      </c>
    </row>
    <row r="143" spans="19:19" x14ac:dyDescent="0.3">
      <c r="S143" s="60">
        <f t="shared" si="3"/>
        <v>0</v>
      </c>
    </row>
    <row r="144" spans="19:19" x14ac:dyDescent="0.3">
      <c r="S144" s="60">
        <f t="shared" si="3"/>
        <v>0</v>
      </c>
    </row>
    <row r="145" spans="19:19" x14ac:dyDescent="0.3">
      <c r="S145" s="60">
        <f t="shared" si="3"/>
        <v>0</v>
      </c>
    </row>
    <row r="146" spans="19:19" x14ac:dyDescent="0.3">
      <c r="S146" s="60">
        <f t="shared" si="3"/>
        <v>0</v>
      </c>
    </row>
    <row r="147" spans="19:19" x14ac:dyDescent="0.3">
      <c r="S147" s="60">
        <f t="shared" si="3"/>
        <v>0</v>
      </c>
    </row>
    <row r="148" spans="19:19" x14ac:dyDescent="0.3">
      <c r="S148" s="60">
        <f t="shared" si="3"/>
        <v>0</v>
      </c>
    </row>
    <row r="149" spans="19:19" x14ac:dyDescent="0.3">
      <c r="S149" s="60">
        <f t="shared" si="3"/>
        <v>0</v>
      </c>
    </row>
    <row r="150" spans="19:19" x14ac:dyDescent="0.3">
      <c r="S150" s="60">
        <f t="shared" si="3"/>
        <v>0</v>
      </c>
    </row>
    <row r="151" spans="19:19" x14ac:dyDescent="0.3">
      <c r="S151" s="60">
        <f t="shared" si="3"/>
        <v>0</v>
      </c>
    </row>
    <row r="152" spans="19:19" x14ac:dyDescent="0.3">
      <c r="S152" s="60">
        <f t="shared" si="3"/>
        <v>0</v>
      </c>
    </row>
    <row r="153" spans="19:19" x14ac:dyDescent="0.3">
      <c r="S153" s="60">
        <f t="shared" si="3"/>
        <v>0</v>
      </c>
    </row>
    <row r="154" spans="19:19" x14ac:dyDescent="0.3">
      <c r="S154" s="60">
        <f t="shared" si="3"/>
        <v>0</v>
      </c>
    </row>
    <row r="155" spans="19:19" x14ac:dyDescent="0.3">
      <c r="S155" s="60">
        <f t="shared" si="3"/>
        <v>0</v>
      </c>
    </row>
    <row r="156" spans="19:19" x14ac:dyDescent="0.3">
      <c r="S156" s="60">
        <f t="shared" si="3"/>
        <v>0</v>
      </c>
    </row>
    <row r="157" spans="19:19" x14ac:dyDescent="0.3">
      <c r="S157" s="60">
        <f t="shared" si="3"/>
        <v>0</v>
      </c>
    </row>
    <row r="158" spans="19:19" x14ac:dyDescent="0.3">
      <c r="S158" s="60">
        <f t="shared" si="3"/>
        <v>0</v>
      </c>
    </row>
    <row r="159" spans="19:19" x14ac:dyDescent="0.3">
      <c r="S159" s="60">
        <f t="shared" si="3"/>
        <v>0</v>
      </c>
    </row>
    <row r="160" spans="19:19" x14ac:dyDescent="0.3">
      <c r="S160" s="60">
        <f t="shared" si="3"/>
        <v>0</v>
      </c>
    </row>
    <row r="161" spans="19:19" x14ac:dyDescent="0.3">
      <c r="S161" s="60">
        <f t="shared" si="3"/>
        <v>0</v>
      </c>
    </row>
    <row r="162" spans="19:19" x14ac:dyDescent="0.3">
      <c r="S162" s="60">
        <f t="shared" si="3"/>
        <v>0</v>
      </c>
    </row>
    <row r="163" spans="19:19" x14ac:dyDescent="0.3">
      <c r="S163" s="60">
        <f t="shared" si="3"/>
        <v>0</v>
      </c>
    </row>
    <row r="164" spans="19:19" x14ac:dyDescent="0.3">
      <c r="S164" s="60">
        <f t="shared" si="3"/>
        <v>0</v>
      </c>
    </row>
    <row r="165" spans="19:19" x14ac:dyDescent="0.3">
      <c r="S165" s="60">
        <f t="shared" si="3"/>
        <v>0</v>
      </c>
    </row>
    <row r="166" spans="19:19" x14ac:dyDescent="0.3">
      <c r="S166" s="60">
        <f t="shared" si="3"/>
        <v>0</v>
      </c>
    </row>
    <row r="167" spans="19:19" x14ac:dyDescent="0.3">
      <c r="S167" s="60">
        <f t="shared" si="3"/>
        <v>0</v>
      </c>
    </row>
    <row r="168" spans="19:19" x14ac:dyDescent="0.3">
      <c r="S168" s="60">
        <f t="shared" si="3"/>
        <v>0</v>
      </c>
    </row>
    <row r="169" spans="19:19" x14ac:dyDescent="0.3">
      <c r="S169" s="60">
        <f t="shared" si="3"/>
        <v>0</v>
      </c>
    </row>
    <row r="170" spans="19:19" x14ac:dyDescent="0.3">
      <c r="S170" s="60">
        <f t="shared" si="3"/>
        <v>0</v>
      </c>
    </row>
    <row r="171" spans="19:19" x14ac:dyDescent="0.3">
      <c r="S171" s="60">
        <f t="shared" si="3"/>
        <v>0</v>
      </c>
    </row>
    <row r="172" spans="19:19" x14ac:dyDescent="0.3">
      <c r="S172" s="60">
        <f t="shared" si="3"/>
        <v>0</v>
      </c>
    </row>
    <row r="173" spans="19:19" x14ac:dyDescent="0.3">
      <c r="S173" s="60">
        <f t="shared" si="3"/>
        <v>0</v>
      </c>
    </row>
    <row r="174" spans="19:19" x14ac:dyDescent="0.3">
      <c r="S174" s="60">
        <f t="shared" si="3"/>
        <v>0</v>
      </c>
    </row>
    <row r="175" spans="19:19" x14ac:dyDescent="0.3">
      <c r="S175" s="60">
        <f t="shared" si="3"/>
        <v>0</v>
      </c>
    </row>
    <row r="176" spans="19:19" x14ac:dyDescent="0.3">
      <c r="S176" s="60">
        <f t="shared" si="3"/>
        <v>0</v>
      </c>
    </row>
    <row r="177" spans="19:19" x14ac:dyDescent="0.3">
      <c r="S177" s="60">
        <f t="shared" si="3"/>
        <v>0</v>
      </c>
    </row>
    <row r="178" spans="19:19" x14ac:dyDescent="0.3">
      <c r="S178" s="60">
        <f t="shared" si="3"/>
        <v>0</v>
      </c>
    </row>
    <row r="179" spans="19:19" x14ac:dyDescent="0.3">
      <c r="S179" s="60">
        <f t="shared" si="3"/>
        <v>0</v>
      </c>
    </row>
    <row r="180" spans="19:19" x14ac:dyDescent="0.3">
      <c r="S180" s="60">
        <f t="shared" si="3"/>
        <v>0</v>
      </c>
    </row>
    <row r="181" spans="19:19" x14ac:dyDescent="0.3">
      <c r="S181" s="60">
        <f t="shared" si="3"/>
        <v>0</v>
      </c>
    </row>
    <row r="182" spans="19:19" x14ac:dyDescent="0.3">
      <c r="S182" s="60">
        <f t="shared" si="3"/>
        <v>0</v>
      </c>
    </row>
    <row r="183" spans="19:19" x14ac:dyDescent="0.3">
      <c r="S183" s="60">
        <f t="shared" si="3"/>
        <v>0</v>
      </c>
    </row>
    <row r="184" spans="19:19" x14ac:dyDescent="0.3">
      <c r="S184" s="60">
        <f t="shared" si="3"/>
        <v>0</v>
      </c>
    </row>
    <row r="185" spans="19:19" x14ac:dyDescent="0.3">
      <c r="S185" s="60">
        <f t="shared" si="3"/>
        <v>0</v>
      </c>
    </row>
    <row r="186" spans="19:19" x14ac:dyDescent="0.3">
      <c r="S186" s="60">
        <f t="shared" si="3"/>
        <v>0</v>
      </c>
    </row>
    <row r="187" spans="19:19" x14ac:dyDescent="0.3">
      <c r="S187" s="60">
        <f t="shared" si="3"/>
        <v>0</v>
      </c>
    </row>
    <row r="188" spans="19:19" x14ac:dyDescent="0.3">
      <c r="S188" s="60">
        <f t="shared" si="3"/>
        <v>0</v>
      </c>
    </row>
    <row r="189" spans="19:19" x14ac:dyDescent="0.3">
      <c r="S189" s="60">
        <f t="shared" si="3"/>
        <v>0</v>
      </c>
    </row>
    <row r="190" spans="19:19" x14ac:dyDescent="0.3">
      <c r="S190" s="60">
        <f t="shared" si="3"/>
        <v>0</v>
      </c>
    </row>
    <row r="191" spans="19:19" x14ac:dyDescent="0.3">
      <c r="S191" s="60">
        <f t="shared" si="3"/>
        <v>0</v>
      </c>
    </row>
    <row r="192" spans="19:19" x14ac:dyDescent="0.3">
      <c r="S192" s="60">
        <f t="shared" si="3"/>
        <v>0</v>
      </c>
    </row>
    <row r="193" spans="19:19" x14ac:dyDescent="0.3">
      <c r="S193" s="60">
        <f t="shared" si="3"/>
        <v>0</v>
      </c>
    </row>
    <row r="194" spans="19:19" x14ac:dyDescent="0.3">
      <c r="S194" s="60">
        <f t="shared" si="3"/>
        <v>0</v>
      </c>
    </row>
    <row r="195" spans="19:19" x14ac:dyDescent="0.3">
      <c r="S195" s="60">
        <f t="shared" si="3"/>
        <v>0</v>
      </c>
    </row>
    <row r="196" spans="19:19" x14ac:dyDescent="0.3">
      <c r="S196" s="60">
        <f t="shared" si="3"/>
        <v>0</v>
      </c>
    </row>
    <row r="197" spans="19:19" x14ac:dyDescent="0.3">
      <c r="S197" s="60">
        <f t="shared" si="3"/>
        <v>0</v>
      </c>
    </row>
    <row r="198" spans="19:19" x14ac:dyDescent="0.3">
      <c r="S198" s="60">
        <f t="shared" si="3"/>
        <v>0</v>
      </c>
    </row>
    <row r="199" spans="19:19" x14ac:dyDescent="0.3">
      <c r="S199" s="60">
        <f t="shared" si="3"/>
        <v>0</v>
      </c>
    </row>
    <row r="200" spans="19:19" x14ac:dyDescent="0.3">
      <c r="S200" s="60">
        <f t="shared" si="3"/>
        <v>0</v>
      </c>
    </row>
    <row r="201" spans="19:19" x14ac:dyDescent="0.3">
      <c r="S201" s="60">
        <f t="shared" si="3"/>
        <v>0</v>
      </c>
    </row>
    <row r="202" spans="19:19" x14ac:dyDescent="0.3">
      <c r="S202" s="60">
        <f t="shared" si="3"/>
        <v>0</v>
      </c>
    </row>
    <row r="203" spans="19:19" x14ac:dyDescent="0.3">
      <c r="S203" s="60">
        <f t="shared" si="3"/>
        <v>0</v>
      </c>
    </row>
    <row r="204" spans="19:19" x14ac:dyDescent="0.3">
      <c r="S204" s="60">
        <f t="shared" si="3"/>
        <v>0</v>
      </c>
    </row>
    <row r="205" spans="19:19" x14ac:dyDescent="0.3">
      <c r="S205" s="60">
        <f t="shared" si="3"/>
        <v>0</v>
      </c>
    </row>
    <row r="206" spans="19:19" x14ac:dyDescent="0.3">
      <c r="S206" s="60">
        <f t="shared" ref="S206:S269" si="4">SUM(N206:R206)</f>
        <v>0</v>
      </c>
    </row>
    <row r="207" spans="19:19" x14ac:dyDescent="0.3">
      <c r="S207" s="60">
        <f t="shared" si="4"/>
        <v>0</v>
      </c>
    </row>
    <row r="208" spans="19:19" x14ac:dyDescent="0.3">
      <c r="S208" s="60">
        <f t="shared" si="4"/>
        <v>0</v>
      </c>
    </row>
    <row r="209" spans="19:19" x14ac:dyDescent="0.3">
      <c r="S209" s="60">
        <f t="shared" si="4"/>
        <v>0</v>
      </c>
    </row>
    <row r="210" spans="19:19" x14ac:dyDescent="0.3">
      <c r="S210" s="60">
        <f t="shared" si="4"/>
        <v>0</v>
      </c>
    </row>
    <row r="211" spans="19:19" x14ac:dyDescent="0.3">
      <c r="S211" s="60">
        <f t="shared" si="4"/>
        <v>0</v>
      </c>
    </row>
    <row r="212" spans="19:19" x14ac:dyDescent="0.3">
      <c r="S212" s="60">
        <f t="shared" si="4"/>
        <v>0</v>
      </c>
    </row>
    <row r="213" spans="19:19" x14ac:dyDescent="0.3">
      <c r="S213" s="60">
        <f t="shared" si="4"/>
        <v>0</v>
      </c>
    </row>
    <row r="214" spans="19:19" x14ac:dyDescent="0.3">
      <c r="S214" s="60">
        <f t="shared" si="4"/>
        <v>0</v>
      </c>
    </row>
    <row r="215" spans="19:19" x14ac:dyDescent="0.3">
      <c r="S215" s="60">
        <f t="shared" si="4"/>
        <v>0</v>
      </c>
    </row>
    <row r="216" spans="19:19" x14ac:dyDescent="0.3">
      <c r="S216" s="60">
        <f t="shared" si="4"/>
        <v>0</v>
      </c>
    </row>
    <row r="217" spans="19:19" x14ac:dyDescent="0.3">
      <c r="S217" s="60">
        <f t="shared" si="4"/>
        <v>0</v>
      </c>
    </row>
    <row r="218" spans="19:19" x14ac:dyDescent="0.3">
      <c r="S218" s="60">
        <f t="shared" si="4"/>
        <v>0</v>
      </c>
    </row>
    <row r="219" spans="19:19" x14ac:dyDescent="0.3">
      <c r="S219" s="60">
        <f t="shared" si="4"/>
        <v>0</v>
      </c>
    </row>
    <row r="220" spans="19:19" x14ac:dyDescent="0.3">
      <c r="S220" s="60">
        <f t="shared" si="4"/>
        <v>0</v>
      </c>
    </row>
    <row r="221" spans="19:19" x14ac:dyDescent="0.3">
      <c r="S221" s="60">
        <f t="shared" si="4"/>
        <v>0</v>
      </c>
    </row>
    <row r="222" spans="19:19" x14ac:dyDescent="0.3">
      <c r="S222" s="60">
        <f t="shared" si="4"/>
        <v>0</v>
      </c>
    </row>
    <row r="223" spans="19:19" x14ac:dyDescent="0.3">
      <c r="S223" s="60">
        <f t="shared" si="4"/>
        <v>0</v>
      </c>
    </row>
    <row r="224" spans="19:19" x14ac:dyDescent="0.3">
      <c r="S224" s="60">
        <f t="shared" si="4"/>
        <v>0</v>
      </c>
    </row>
    <row r="225" spans="19:19" x14ac:dyDescent="0.3">
      <c r="S225" s="60">
        <f t="shared" si="4"/>
        <v>0</v>
      </c>
    </row>
    <row r="226" spans="19:19" x14ac:dyDescent="0.3">
      <c r="S226" s="60">
        <f t="shared" si="4"/>
        <v>0</v>
      </c>
    </row>
    <row r="227" spans="19:19" x14ac:dyDescent="0.3">
      <c r="S227" s="60">
        <f t="shared" si="4"/>
        <v>0</v>
      </c>
    </row>
    <row r="228" spans="19:19" x14ac:dyDescent="0.3">
      <c r="S228" s="60">
        <f t="shared" si="4"/>
        <v>0</v>
      </c>
    </row>
    <row r="229" spans="19:19" x14ac:dyDescent="0.3">
      <c r="S229" s="60">
        <f t="shared" si="4"/>
        <v>0</v>
      </c>
    </row>
    <row r="230" spans="19:19" x14ac:dyDescent="0.3">
      <c r="S230" s="60">
        <f t="shared" si="4"/>
        <v>0</v>
      </c>
    </row>
    <row r="231" spans="19:19" x14ac:dyDescent="0.3">
      <c r="S231" s="60">
        <f t="shared" si="4"/>
        <v>0</v>
      </c>
    </row>
    <row r="232" spans="19:19" x14ac:dyDescent="0.3">
      <c r="S232" s="60">
        <f t="shared" si="4"/>
        <v>0</v>
      </c>
    </row>
    <row r="233" spans="19:19" x14ac:dyDescent="0.3">
      <c r="S233" s="60">
        <f t="shared" si="4"/>
        <v>0</v>
      </c>
    </row>
    <row r="234" spans="19:19" x14ac:dyDescent="0.3">
      <c r="S234" s="60">
        <f t="shared" si="4"/>
        <v>0</v>
      </c>
    </row>
    <row r="235" spans="19:19" x14ac:dyDescent="0.3">
      <c r="S235" s="60">
        <f t="shared" si="4"/>
        <v>0</v>
      </c>
    </row>
    <row r="236" spans="19:19" x14ac:dyDescent="0.3">
      <c r="S236" s="60">
        <f t="shared" si="4"/>
        <v>0</v>
      </c>
    </row>
    <row r="237" spans="19:19" x14ac:dyDescent="0.3">
      <c r="S237" s="60">
        <f t="shared" si="4"/>
        <v>0</v>
      </c>
    </row>
    <row r="238" spans="19:19" x14ac:dyDescent="0.3">
      <c r="S238" s="60">
        <f t="shared" si="4"/>
        <v>0</v>
      </c>
    </row>
    <row r="239" spans="19:19" x14ac:dyDescent="0.3">
      <c r="S239" s="60">
        <f t="shared" si="4"/>
        <v>0</v>
      </c>
    </row>
    <row r="240" spans="19:19" x14ac:dyDescent="0.3">
      <c r="S240" s="60">
        <f t="shared" si="4"/>
        <v>0</v>
      </c>
    </row>
    <row r="241" spans="19:19" x14ac:dyDescent="0.3">
      <c r="S241" s="60">
        <f t="shared" si="4"/>
        <v>0</v>
      </c>
    </row>
    <row r="242" spans="19:19" x14ac:dyDescent="0.3">
      <c r="S242" s="60">
        <f t="shared" si="4"/>
        <v>0</v>
      </c>
    </row>
    <row r="243" spans="19:19" x14ac:dyDescent="0.3">
      <c r="S243" s="60">
        <f t="shared" si="4"/>
        <v>0</v>
      </c>
    </row>
    <row r="244" spans="19:19" x14ac:dyDescent="0.3">
      <c r="S244" s="60">
        <f t="shared" si="4"/>
        <v>0</v>
      </c>
    </row>
    <row r="245" spans="19:19" x14ac:dyDescent="0.3">
      <c r="S245" s="60">
        <f t="shared" si="4"/>
        <v>0</v>
      </c>
    </row>
    <row r="246" spans="19:19" x14ac:dyDescent="0.3">
      <c r="S246" s="60">
        <f t="shared" si="4"/>
        <v>0</v>
      </c>
    </row>
    <row r="247" spans="19:19" x14ac:dyDescent="0.3">
      <c r="S247" s="60">
        <f t="shared" si="4"/>
        <v>0</v>
      </c>
    </row>
    <row r="248" spans="19:19" x14ac:dyDescent="0.3">
      <c r="S248" s="60">
        <f t="shared" si="4"/>
        <v>0</v>
      </c>
    </row>
    <row r="249" spans="19:19" x14ac:dyDescent="0.3">
      <c r="S249" s="60">
        <f t="shared" si="4"/>
        <v>0</v>
      </c>
    </row>
    <row r="250" spans="19:19" x14ac:dyDescent="0.3">
      <c r="S250" s="60">
        <f t="shared" si="4"/>
        <v>0</v>
      </c>
    </row>
    <row r="251" spans="19:19" x14ac:dyDescent="0.3">
      <c r="S251" s="60">
        <f t="shared" si="4"/>
        <v>0</v>
      </c>
    </row>
    <row r="252" spans="19:19" x14ac:dyDescent="0.3">
      <c r="S252" s="60">
        <f t="shared" si="4"/>
        <v>0</v>
      </c>
    </row>
    <row r="253" spans="19:19" x14ac:dyDescent="0.3">
      <c r="S253" s="60">
        <f t="shared" si="4"/>
        <v>0</v>
      </c>
    </row>
    <row r="254" spans="19:19" x14ac:dyDescent="0.3">
      <c r="S254" s="60">
        <f t="shared" si="4"/>
        <v>0</v>
      </c>
    </row>
    <row r="255" spans="19:19" x14ac:dyDescent="0.3">
      <c r="S255" s="60">
        <f t="shared" si="4"/>
        <v>0</v>
      </c>
    </row>
    <row r="256" spans="19:19" x14ac:dyDescent="0.3">
      <c r="S256" s="60">
        <f t="shared" si="4"/>
        <v>0</v>
      </c>
    </row>
    <row r="257" spans="19:19" x14ac:dyDescent="0.3">
      <c r="S257" s="60">
        <f t="shared" si="4"/>
        <v>0</v>
      </c>
    </row>
    <row r="258" spans="19:19" x14ac:dyDescent="0.3">
      <c r="S258" s="60">
        <f t="shared" si="4"/>
        <v>0</v>
      </c>
    </row>
    <row r="259" spans="19:19" x14ac:dyDescent="0.3">
      <c r="S259" s="60">
        <f t="shared" si="4"/>
        <v>0</v>
      </c>
    </row>
    <row r="260" spans="19:19" x14ac:dyDescent="0.3">
      <c r="S260" s="60">
        <f t="shared" si="4"/>
        <v>0</v>
      </c>
    </row>
    <row r="261" spans="19:19" x14ac:dyDescent="0.3">
      <c r="S261" s="60">
        <f t="shared" si="4"/>
        <v>0</v>
      </c>
    </row>
    <row r="262" spans="19:19" x14ac:dyDescent="0.3">
      <c r="S262" s="60">
        <f t="shared" si="4"/>
        <v>0</v>
      </c>
    </row>
    <row r="263" spans="19:19" x14ac:dyDescent="0.3">
      <c r="S263" s="60">
        <f t="shared" si="4"/>
        <v>0</v>
      </c>
    </row>
    <row r="264" spans="19:19" x14ac:dyDescent="0.3">
      <c r="S264" s="60">
        <f t="shared" si="4"/>
        <v>0</v>
      </c>
    </row>
    <row r="265" spans="19:19" x14ac:dyDescent="0.3">
      <c r="S265" s="60">
        <f t="shared" si="4"/>
        <v>0</v>
      </c>
    </row>
    <row r="266" spans="19:19" x14ac:dyDescent="0.3">
      <c r="S266" s="60">
        <f t="shared" si="4"/>
        <v>0</v>
      </c>
    </row>
    <row r="267" spans="19:19" x14ac:dyDescent="0.3">
      <c r="S267" s="60">
        <f t="shared" si="4"/>
        <v>0</v>
      </c>
    </row>
    <row r="268" spans="19:19" x14ac:dyDescent="0.3">
      <c r="S268" s="60">
        <f t="shared" si="4"/>
        <v>0</v>
      </c>
    </row>
    <row r="269" spans="19:19" x14ac:dyDescent="0.3">
      <c r="S269" s="60">
        <f t="shared" si="4"/>
        <v>0</v>
      </c>
    </row>
    <row r="270" spans="19:19" x14ac:dyDescent="0.3">
      <c r="S270" s="60">
        <f t="shared" ref="S270:S333" si="5">SUM(N270:R270)</f>
        <v>0</v>
      </c>
    </row>
    <row r="271" spans="19:19" x14ac:dyDescent="0.3">
      <c r="S271" s="60">
        <f t="shared" si="5"/>
        <v>0</v>
      </c>
    </row>
    <row r="272" spans="19:19" x14ac:dyDescent="0.3">
      <c r="S272" s="60">
        <f t="shared" si="5"/>
        <v>0</v>
      </c>
    </row>
    <row r="273" spans="19:19" x14ac:dyDescent="0.3">
      <c r="S273" s="60">
        <f t="shared" si="5"/>
        <v>0</v>
      </c>
    </row>
    <row r="274" spans="19:19" x14ac:dyDescent="0.3">
      <c r="S274" s="60">
        <f t="shared" si="5"/>
        <v>0</v>
      </c>
    </row>
    <row r="275" spans="19:19" x14ac:dyDescent="0.3">
      <c r="S275" s="60">
        <f t="shared" si="5"/>
        <v>0</v>
      </c>
    </row>
    <row r="276" spans="19:19" x14ac:dyDescent="0.3">
      <c r="S276" s="60">
        <f t="shared" si="5"/>
        <v>0</v>
      </c>
    </row>
    <row r="277" spans="19:19" x14ac:dyDescent="0.3">
      <c r="S277" s="60">
        <f t="shared" si="5"/>
        <v>0</v>
      </c>
    </row>
    <row r="278" spans="19:19" x14ac:dyDescent="0.3">
      <c r="S278" s="60">
        <f t="shared" si="5"/>
        <v>0</v>
      </c>
    </row>
    <row r="279" spans="19:19" x14ac:dyDescent="0.3">
      <c r="S279" s="60">
        <f t="shared" si="5"/>
        <v>0</v>
      </c>
    </row>
    <row r="280" spans="19:19" x14ac:dyDescent="0.3">
      <c r="S280" s="60">
        <f t="shared" si="5"/>
        <v>0</v>
      </c>
    </row>
    <row r="281" spans="19:19" x14ac:dyDescent="0.3">
      <c r="S281" s="60">
        <f t="shared" si="5"/>
        <v>0</v>
      </c>
    </row>
    <row r="282" spans="19:19" x14ac:dyDescent="0.3">
      <c r="S282" s="60">
        <f t="shared" si="5"/>
        <v>0</v>
      </c>
    </row>
    <row r="283" spans="19:19" x14ac:dyDescent="0.3">
      <c r="S283" s="60">
        <f t="shared" si="5"/>
        <v>0</v>
      </c>
    </row>
    <row r="284" spans="19:19" x14ac:dyDescent="0.3">
      <c r="S284" s="60">
        <f t="shared" si="5"/>
        <v>0</v>
      </c>
    </row>
    <row r="285" spans="19:19" x14ac:dyDescent="0.3">
      <c r="S285" s="60">
        <f t="shared" si="5"/>
        <v>0</v>
      </c>
    </row>
    <row r="286" spans="19:19" x14ac:dyDescent="0.3">
      <c r="S286" s="60">
        <f t="shared" si="5"/>
        <v>0</v>
      </c>
    </row>
    <row r="287" spans="19:19" x14ac:dyDescent="0.3">
      <c r="S287" s="60">
        <f t="shared" si="5"/>
        <v>0</v>
      </c>
    </row>
    <row r="288" spans="19:19" x14ac:dyDescent="0.3">
      <c r="S288" s="60">
        <f t="shared" si="5"/>
        <v>0</v>
      </c>
    </row>
    <row r="289" spans="19:19" x14ac:dyDescent="0.3">
      <c r="S289" s="60">
        <f t="shared" si="5"/>
        <v>0</v>
      </c>
    </row>
    <row r="290" spans="19:19" x14ac:dyDescent="0.3">
      <c r="S290" s="60">
        <f t="shared" si="5"/>
        <v>0</v>
      </c>
    </row>
    <row r="291" spans="19:19" x14ac:dyDescent="0.3">
      <c r="S291" s="60">
        <f t="shared" si="5"/>
        <v>0</v>
      </c>
    </row>
    <row r="292" spans="19:19" x14ac:dyDescent="0.3">
      <c r="S292" s="60">
        <f t="shared" si="5"/>
        <v>0</v>
      </c>
    </row>
    <row r="293" spans="19:19" x14ac:dyDescent="0.3">
      <c r="S293" s="60">
        <f t="shared" si="5"/>
        <v>0</v>
      </c>
    </row>
    <row r="294" spans="19:19" x14ac:dyDescent="0.3">
      <c r="S294" s="60">
        <f t="shared" si="5"/>
        <v>0</v>
      </c>
    </row>
    <row r="295" spans="19:19" x14ac:dyDescent="0.3">
      <c r="S295" s="60">
        <f t="shared" si="5"/>
        <v>0</v>
      </c>
    </row>
    <row r="296" spans="19:19" x14ac:dyDescent="0.3">
      <c r="S296" s="60">
        <f t="shared" si="5"/>
        <v>0</v>
      </c>
    </row>
    <row r="297" spans="19:19" x14ac:dyDescent="0.3">
      <c r="S297" s="60">
        <f t="shared" si="5"/>
        <v>0</v>
      </c>
    </row>
    <row r="298" spans="19:19" x14ac:dyDescent="0.3">
      <c r="S298" s="60">
        <f t="shared" si="5"/>
        <v>0</v>
      </c>
    </row>
    <row r="299" spans="19:19" x14ac:dyDescent="0.3">
      <c r="S299" s="60">
        <f t="shared" si="5"/>
        <v>0</v>
      </c>
    </row>
    <row r="300" spans="19:19" x14ac:dyDescent="0.3">
      <c r="S300" s="60">
        <f t="shared" si="5"/>
        <v>0</v>
      </c>
    </row>
    <row r="301" spans="19:19" x14ac:dyDescent="0.3">
      <c r="S301" s="60">
        <f t="shared" si="5"/>
        <v>0</v>
      </c>
    </row>
    <row r="302" spans="19:19" x14ac:dyDescent="0.3">
      <c r="S302" s="60">
        <f t="shared" si="5"/>
        <v>0</v>
      </c>
    </row>
    <row r="303" spans="19:19" x14ac:dyDescent="0.3">
      <c r="S303" s="60">
        <f t="shared" si="5"/>
        <v>0</v>
      </c>
    </row>
    <row r="304" spans="19:19" x14ac:dyDescent="0.3">
      <c r="S304" s="60">
        <f t="shared" si="5"/>
        <v>0</v>
      </c>
    </row>
    <row r="305" spans="19:19" x14ac:dyDescent="0.3">
      <c r="S305" s="60">
        <f t="shared" si="5"/>
        <v>0</v>
      </c>
    </row>
    <row r="306" spans="19:19" x14ac:dyDescent="0.3">
      <c r="S306" s="60">
        <f t="shared" si="5"/>
        <v>0</v>
      </c>
    </row>
    <row r="307" spans="19:19" x14ac:dyDescent="0.3">
      <c r="S307" s="60">
        <f t="shared" si="5"/>
        <v>0</v>
      </c>
    </row>
    <row r="308" spans="19:19" x14ac:dyDescent="0.3">
      <c r="S308" s="60">
        <f t="shared" si="5"/>
        <v>0</v>
      </c>
    </row>
    <row r="309" spans="19:19" x14ac:dyDescent="0.3">
      <c r="S309" s="60">
        <f t="shared" si="5"/>
        <v>0</v>
      </c>
    </row>
    <row r="310" spans="19:19" x14ac:dyDescent="0.3">
      <c r="S310" s="60">
        <f t="shared" si="5"/>
        <v>0</v>
      </c>
    </row>
    <row r="311" spans="19:19" x14ac:dyDescent="0.3">
      <c r="S311" s="60">
        <f t="shared" si="5"/>
        <v>0</v>
      </c>
    </row>
    <row r="312" spans="19:19" x14ac:dyDescent="0.3">
      <c r="S312" s="60">
        <f t="shared" si="5"/>
        <v>0</v>
      </c>
    </row>
    <row r="313" spans="19:19" x14ac:dyDescent="0.3">
      <c r="S313" s="60">
        <f t="shared" si="5"/>
        <v>0</v>
      </c>
    </row>
    <row r="314" spans="19:19" x14ac:dyDescent="0.3">
      <c r="S314" s="60">
        <f t="shared" si="5"/>
        <v>0</v>
      </c>
    </row>
    <row r="315" spans="19:19" x14ac:dyDescent="0.3">
      <c r="S315" s="60">
        <f t="shared" si="5"/>
        <v>0</v>
      </c>
    </row>
    <row r="316" spans="19:19" x14ac:dyDescent="0.3">
      <c r="S316" s="60">
        <f t="shared" si="5"/>
        <v>0</v>
      </c>
    </row>
    <row r="317" spans="19:19" x14ac:dyDescent="0.3">
      <c r="S317" s="60">
        <f t="shared" si="5"/>
        <v>0</v>
      </c>
    </row>
    <row r="318" spans="19:19" x14ac:dyDescent="0.3">
      <c r="S318" s="60">
        <f t="shared" si="5"/>
        <v>0</v>
      </c>
    </row>
    <row r="319" spans="19:19" x14ac:dyDescent="0.3">
      <c r="S319" s="60">
        <f t="shared" si="5"/>
        <v>0</v>
      </c>
    </row>
    <row r="320" spans="19:19" x14ac:dyDescent="0.3">
      <c r="S320" s="60">
        <f t="shared" si="5"/>
        <v>0</v>
      </c>
    </row>
    <row r="321" spans="19:19" x14ac:dyDescent="0.3">
      <c r="S321" s="60">
        <f t="shared" si="5"/>
        <v>0</v>
      </c>
    </row>
    <row r="322" spans="19:19" x14ac:dyDescent="0.3">
      <c r="S322" s="60">
        <f t="shared" si="5"/>
        <v>0</v>
      </c>
    </row>
    <row r="323" spans="19:19" x14ac:dyDescent="0.3">
      <c r="S323" s="60">
        <f t="shared" si="5"/>
        <v>0</v>
      </c>
    </row>
    <row r="324" spans="19:19" x14ac:dyDescent="0.3">
      <c r="S324" s="60">
        <f t="shared" si="5"/>
        <v>0</v>
      </c>
    </row>
    <row r="325" spans="19:19" x14ac:dyDescent="0.3">
      <c r="S325" s="60">
        <f t="shared" si="5"/>
        <v>0</v>
      </c>
    </row>
    <row r="326" spans="19:19" x14ac:dyDescent="0.3">
      <c r="S326" s="60">
        <f t="shared" si="5"/>
        <v>0</v>
      </c>
    </row>
    <row r="327" spans="19:19" x14ac:dyDescent="0.3">
      <c r="S327" s="60">
        <f t="shared" si="5"/>
        <v>0</v>
      </c>
    </row>
    <row r="328" spans="19:19" x14ac:dyDescent="0.3">
      <c r="S328" s="60">
        <f t="shared" si="5"/>
        <v>0</v>
      </c>
    </row>
    <row r="329" spans="19:19" x14ac:dyDescent="0.3">
      <c r="S329" s="60">
        <f t="shared" si="5"/>
        <v>0</v>
      </c>
    </row>
    <row r="330" spans="19:19" x14ac:dyDescent="0.3">
      <c r="S330" s="60">
        <f t="shared" si="5"/>
        <v>0</v>
      </c>
    </row>
    <row r="331" spans="19:19" x14ac:dyDescent="0.3">
      <c r="S331" s="60">
        <f t="shared" si="5"/>
        <v>0</v>
      </c>
    </row>
    <row r="332" spans="19:19" x14ac:dyDescent="0.3">
      <c r="S332" s="60">
        <f t="shared" si="5"/>
        <v>0</v>
      </c>
    </row>
    <row r="333" spans="19:19" x14ac:dyDescent="0.3">
      <c r="S333" s="60">
        <f t="shared" si="5"/>
        <v>0</v>
      </c>
    </row>
    <row r="334" spans="19:19" x14ac:dyDescent="0.3">
      <c r="S334" s="60">
        <f t="shared" ref="S334:S397" si="6">SUM(N334:R334)</f>
        <v>0</v>
      </c>
    </row>
    <row r="335" spans="19:19" x14ac:dyDescent="0.3">
      <c r="S335" s="60">
        <f t="shared" si="6"/>
        <v>0</v>
      </c>
    </row>
    <row r="336" spans="19:19" x14ac:dyDescent="0.3">
      <c r="S336" s="60">
        <f t="shared" si="6"/>
        <v>0</v>
      </c>
    </row>
    <row r="337" spans="19:19" x14ac:dyDescent="0.3">
      <c r="S337" s="60">
        <f t="shared" si="6"/>
        <v>0</v>
      </c>
    </row>
    <row r="338" spans="19:19" x14ac:dyDescent="0.3">
      <c r="S338" s="60">
        <f t="shared" si="6"/>
        <v>0</v>
      </c>
    </row>
    <row r="339" spans="19:19" x14ac:dyDescent="0.3">
      <c r="S339" s="60">
        <f t="shared" si="6"/>
        <v>0</v>
      </c>
    </row>
    <row r="340" spans="19:19" x14ac:dyDescent="0.3">
      <c r="S340" s="60">
        <f t="shared" si="6"/>
        <v>0</v>
      </c>
    </row>
    <row r="341" spans="19:19" x14ac:dyDescent="0.3">
      <c r="S341" s="60">
        <f t="shared" si="6"/>
        <v>0</v>
      </c>
    </row>
    <row r="342" spans="19:19" x14ac:dyDescent="0.3">
      <c r="S342" s="60">
        <f t="shared" si="6"/>
        <v>0</v>
      </c>
    </row>
    <row r="343" spans="19:19" x14ac:dyDescent="0.3">
      <c r="S343" s="60">
        <f t="shared" si="6"/>
        <v>0</v>
      </c>
    </row>
    <row r="344" spans="19:19" x14ac:dyDescent="0.3">
      <c r="S344" s="60">
        <f t="shared" si="6"/>
        <v>0</v>
      </c>
    </row>
    <row r="345" spans="19:19" x14ac:dyDescent="0.3">
      <c r="S345" s="60">
        <f t="shared" si="6"/>
        <v>0</v>
      </c>
    </row>
    <row r="346" spans="19:19" x14ac:dyDescent="0.3">
      <c r="S346" s="60">
        <f t="shared" si="6"/>
        <v>0</v>
      </c>
    </row>
    <row r="347" spans="19:19" x14ac:dyDescent="0.3">
      <c r="S347" s="60">
        <f t="shared" si="6"/>
        <v>0</v>
      </c>
    </row>
    <row r="348" spans="19:19" x14ac:dyDescent="0.3">
      <c r="S348" s="60">
        <f t="shared" si="6"/>
        <v>0</v>
      </c>
    </row>
    <row r="349" spans="19:19" x14ac:dyDescent="0.3">
      <c r="S349" s="60">
        <f t="shared" si="6"/>
        <v>0</v>
      </c>
    </row>
    <row r="350" spans="19:19" x14ac:dyDescent="0.3">
      <c r="S350" s="60">
        <f t="shared" si="6"/>
        <v>0</v>
      </c>
    </row>
    <row r="351" spans="19:19" x14ac:dyDescent="0.3">
      <c r="S351" s="60">
        <f t="shared" si="6"/>
        <v>0</v>
      </c>
    </row>
    <row r="352" spans="19:19" x14ac:dyDescent="0.3">
      <c r="S352" s="60">
        <f t="shared" si="6"/>
        <v>0</v>
      </c>
    </row>
    <row r="353" spans="19:19" x14ac:dyDescent="0.3">
      <c r="S353" s="60">
        <f t="shared" si="6"/>
        <v>0</v>
      </c>
    </row>
    <row r="354" spans="19:19" x14ac:dyDescent="0.3">
      <c r="S354" s="60">
        <f t="shared" si="6"/>
        <v>0</v>
      </c>
    </row>
    <row r="355" spans="19:19" x14ac:dyDescent="0.3">
      <c r="S355" s="60">
        <f t="shared" si="6"/>
        <v>0</v>
      </c>
    </row>
    <row r="356" spans="19:19" x14ac:dyDescent="0.3">
      <c r="S356" s="60">
        <f t="shared" si="6"/>
        <v>0</v>
      </c>
    </row>
    <row r="357" spans="19:19" x14ac:dyDescent="0.3">
      <c r="S357" s="60">
        <f t="shared" si="6"/>
        <v>0</v>
      </c>
    </row>
    <row r="358" spans="19:19" x14ac:dyDescent="0.3">
      <c r="S358" s="60">
        <f t="shared" si="6"/>
        <v>0</v>
      </c>
    </row>
    <row r="359" spans="19:19" x14ac:dyDescent="0.3">
      <c r="S359" s="60">
        <f t="shared" si="6"/>
        <v>0</v>
      </c>
    </row>
    <row r="360" spans="19:19" x14ac:dyDescent="0.3">
      <c r="S360" s="60">
        <f t="shared" si="6"/>
        <v>0</v>
      </c>
    </row>
    <row r="361" spans="19:19" x14ac:dyDescent="0.3">
      <c r="S361" s="60">
        <f t="shared" si="6"/>
        <v>0</v>
      </c>
    </row>
    <row r="362" spans="19:19" x14ac:dyDescent="0.3">
      <c r="S362" s="60">
        <f t="shared" si="6"/>
        <v>0</v>
      </c>
    </row>
    <row r="363" spans="19:19" x14ac:dyDescent="0.3">
      <c r="S363" s="60">
        <f t="shared" si="6"/>
        <v>0</v>
      </c>
    </row>
    <row r="364" spans="19:19" x14ac:dyDescent="0.3">
      <c r="S364" s="60">
        <f t="shared" si="6"/>
        <v>0</v>
      </c>
    </row>
    <row r="365" spans="19:19" x14ac:dyDescent="0.3">
      <c r="S365" s="60">
        <f t="shared" si="6"/>
        <v>0</v>
      </c>
    </row>
    <row r="366" spans="19:19" x14ac:dyDescent="0.3">
      <c r="S366" s="60">
        <f t="shared" si="6"/>
        <v>0</v>
      </c>
    </row>
    <row r="367" spans="19:19" x14ac:dyDescent="0.3">
      <c r="S367" s="60">
        <f t="shared" si="6"/>
        <v>0</v>
      </c>
    </row>
    <row r="368" spans="19:19" x14ac:dyDescent="0.3">
      <c r="S368" s="60">
        <f t="shared" si="6"/>
        <v>0</v>
      </c>
    </row>
    <row r="369" spans="19:19" x14ac:dyDescent="0.3">
      <c r="S369" s="60">
        <f t="shared" si="6"/>
        <v>0</v>
      </c>
    </row>
    <row r="370" spans="19:19" x14ac:dyDescent="0.3">
      <c r="S370" s="60">
        <f t="shared" si="6"/>
        <v>0</v>
      </c>
    </row>
    <row r="371" spans="19:19" x14ac:dyDescent="0.3">
      <c r="S371" s="60">
        <f t="shared" si="6"/>
        <v>0</v>
      </c>
    </row>
    <row r="372" spans="19:19" x14ac:dyDescent="0.3">
      <c r="S372" s="60">
        <f t="shared" si="6"/>
        <v>0</v>
      </c>
    </row>
    <row r="373" spans="19:19" x14ac:dyDescent="0.3">
      <c r="S373" s="60">
        <f t="shared" si="6"/>
        <v>0</v>
      </c>
    </row>
    <row r="374" spans="19:19" x14ac:dyDescent="0.3">
      <c r="S374" s="60">
        <f t="shared" si="6"/>
        <v>0</v>
      </c>
    </row>
    <row r="375" spans="19:19" x14ac:dyDescent="0.3">
      <c r="S375" s="60">
        <f t="shared" si="6"/>
        <v>0</v>
      </c>
    </row>
    <row r="376" spans="19:19" x14ac:dyDescent="0.3">
      <c r="S376" s="60">
        <f t="shared" si="6"/>
        <v>0</v>
      </c>
    </row>
    <row r="377" spans="19:19" x14ac:dyDescent="0.3">
      <c r="S377" s="60">
        <f t="shared" si="6"/>
        <v>0</v>
      </c>
    </row>
    <row r="378" spans="19:19" x14ac:dyDescent="0.3">
      <c r="S378" s="60">
        <f t="shared" si="6"/>
        <v>0</v>
      </c>
    </row>
    <row r="379" spans="19:19" x14ac:dyDescent="0.3">
      <c r="S379" s="60">
        <f t="shared" si="6"/>
        <v>0</v>
      </c>
    </row>
    <row r="380" spans="19:19" x14ac:dyDescent="0.3">
      <c r="S380" s="60">
        <f t="shared" si="6"/>
        <v>0</v>
      </c>
    </row>
    <row r="381" spans="19:19" x14ac:dyDescent="0.3">
      <c r="S381" s="60">
        <f t="shared" si="6"/>
        <v>0</v>
      </c>
    </row>
    <row r="382" spans="19:19" x14ac:dyDescent="0.3">
      <c r="S382" s="60">
        <f t="shared" si="6"/>
        <v>0</v>
      </c>
    </row>
    <row r="383" spans="19:19" x14ac:dyDescent="0.3">
      <c r="S383" s="60">
        <f t="shared" si="6"/>
        <v>0</v>
      </c>
    </row>
    <row r="384" spans="19:19" x14ac:dyDescent="0.3">
      <c r="S384" s="60">
        <f t="shared" si="6"/>
        <v>0</v>
      </c>
    </row>
    <row r="385" spans="19:19" x14ac:dyDescent="0.3">
      <c r="S385" s="60">
        <f t="shared" si="6"/>
        <v>0</v>
      </c>
    </row>
    <row r="386" spans="19:19" x14ac:dyDescent="0.3">
      <c r="S386" s="60">
        <f t="shared" si="6"/>
        <v>0</v>
      </c>
    </row>
    <row r="387" spans="19:19" x14ac:dyDescent="0.3">
      <c r="S387" s="60">
        <f t="shared" si="6"/>
        <v>0</v>
      </c>
    </row>
    <row r="388" spans="19:19" x14ac:dyDescent="0.3">
      <c r="S388" s="60">
        <f t="shared" si="6"/>
        <v>0</v>
      </c>
    </row>
    <row r="389" spans="19:19" x14ac:dyDescent="0.3">
      <c r="S389" s="60">
        <f t="shared" si="6"/>
        <v>0</v>
      </c>
    </row>
    <row r="390" spans="19:19" x14ac:dyDescent="0.3">
      <c r="S390" s="60">
        <f t="shared" si="6"/>
        <v>0</v>
      </c>
    </row>
    <row r="391" spans="19:19" x14ac:dyDescent="0.3">
      <c r="S391" s="60">
        <f t="shared" si="6"/>
        <v>0</v>
      </c>
    </row>
    <row r="392" spans="19:19" x14ac:dyDescent="0.3">
      <c r="S392" s="60">
        <f t="shared" si="6"/>
        <v>0</v>
      </c>
    </row>
    <row r="393" spans="19:19" x14ac:dyDescent="0.3">
      <c r="S393" s="60">
        <f t="shared" si="6"/>
        <v>0</v>
      </c>
    </row>
    <row r="394" spans="19:19" x14ac:dyDescent="0.3">
      <c r="S394" s="60">
        <f t="shared" si="6"/>
        <v>0</v>
      </c>
    </row>
    <row r="395" spans="19:19" x14ac:dyDescent="0.3">
      <c r="S395" s="60">
        <f t="shared" si="6"/>
        <v>0</v>
      </c>
    </row>
    <row r="396" spans="19:19" x14ac:dyDescent="0.3">
      <c r="S396" s="60">
        <f t="shared" si="6"/>
        <v>0</v>
      </c>
    </row>
    <row r="397" spans="19:19" x14ac:dyDescent="0.3">
      <c r="S397" s="60">
        <f t="shared" si="6"/>
        <v>0</v>
      </c>
    </row>
    <row r="398" spans="19:19" x14ac:dyDescent="0.3">
      <c r="S398" s="60">
        <f t="shared" ref="S398:S461" si="7">SUM(N398:R398)</f>
        <v>0</v>
      </c>
    </row>
    <row r="399" spans="19:19" x14ac:dyDescent="0.3">
      <c r="S399" s="60">
        <f t="shared" si="7"/>
        <v>0</v>
      </c>
    </row>
    <row r="400" spans="19:19" x14ac:dyDescent="0.3">
      <c r="S400" s="60">
        <f t="shared" si="7"/>
        <v>0</v>
      </c>
    </row>
    <row r="401" spans="19:19" x14ac:dyDescent="0.3">
      <c r="S401" s="60">
        <f t="shared" si="7"/>
        <v>0</v>
      </c>
    </row>
    <row r="402" spans="19:19" x14ac:dyDescent="0.3">
      <c r="S402" s="60">
        <f t="shared" si="7"/>
        <v>0</v>
      </c>
    </row>
    <row r="403" spans="19:19" x14ac:dyDescent="0.3">
      <c r="S403" s="60">
        <f t="shared" si="7"/>
        <v>0</v>
      </c>
    </row>
    <row r="404" spans="19:19" x14ac:dyDescent="0.3">
      <c r="S404" s="60">
        <f t="shared" si="7"/>
        <v>0</v>
      </c>
    </row>
    <row r="405" spans="19:19" x14ac:dyDescent="0.3">
      <c r="S405" s="60">
        <f t="shared" si="7"/>
        <v>0</v>
      </c>
    </row>
    <row r="406" spans="19:19" x14ac:dyDescent="0.3">
      <c r="S406" s="60">
        <f t="shared" si="7"/>
        <v>0</v>
      </c>
    </row>
    <row r="407" spans="19:19" x14ac:dyDescent="0.3">
      <c r="S407" s="60">
        <f t="shared" si="7"/>
        <v>0</v>
      </c>
    </row>
    <row r="408" spans="19:19" x14ac:dyDescent="0.3">
      <c r="S408" s="60">
        <f t="shared" si="7"/>
        <v>0</v>
      </c>
    </row>
    <row r="409" spans="19:19" x14ac:dyDescent="0.3">
      <c r="S409" s="60">
        <f t="shared" si="7"/>
        <v>0</v>
      </c>
    </row>
    <row r="410" spans="19:19" x14ac:dyDescent="0.3">
      <c r="S410" s="60">
        <f t="shared" si="7"/>
        <v>0</v>
      </c>
    </row>
    <row r="411" spans="19:19" x14ac:dyDescent="0.3">
      <c r="S411" s="60">
        <f t="shared" si="7"/>
        <v>0</v>
      </c>
    </row>
    <row r="412" spans="19:19" x14ac:dyDescent="0.3">
      <c r="S412" s="60">
        <f t="shared" si="7"/>
        <v>0</v>
      </c>
    </row>
    <row r="413" spans="19:19" x14ac:dyDescent="0.3">
      <c r="S413" s="60">
        <f t="shared" si="7"/>
        <v>0</v>
      </c>
    </row>
    <row r="414" spans="19:19" x14ac:dyDescent="0.3">
      <c r="S414" s="60">
        <f t="shared" si="7"/>
        <v>0</v>
      </c>
    </row>
    <row r="415" spans="19:19" x14ac:dyDescent="0.3">
      <c r="S415" s="60">
        <f t="shared" si="7"/>
        <v>0</v>
      </c>
    </row>
    <row r="416" spans="19:19" x14ac:dyDescent="0.3">
      <c r="S416" s="60">
        <f t="shared" si="7"/>
        <v>0</v>
      </c>
    </row>
    <row r="417" spans="19:19" x14ac:dyDescent="0.3">
      <c r="S417" s="60">
        <f t="shared" si="7"/>
        <v>0</v>
      </c>
    </row>
    <row r="418" spans="19:19" x14ac:dyDescent="0.3">
      <c r="S418" s="60">
        <f t="shared" si="7"/>
        <v>0</v>
      </c>
    </row>
    <row r="419" spans="19:19" x14ac:dyDescent="0.3">
      <c r="S419" s="60">
        <f t="shared" si="7"/>
        <v>0</v>
      </c>
    </row>
    <row r="420" spans="19:19" x14ac:dyDescent="0.3">
      <c r="S420" s="60">
        <f t="shared" si="7"/>
        <v>0</v>
      </c>
    </row>
    <row r="421" spans="19:19" x14ac:dyDescent="0.3">
      <c r="S421" s="60">
        <f t="shared" si="7"/>
        <v>0</v>
      </c>
    </row>
    <row r="422" spans="19:19" x14ac:dyDescent="0.3">
      <c r="S422" s="60">
        <f t="shared" si="7"/>
        <v>0</v>
      </c>
    </row>
    <row r="423" spans="19:19" x14ac:dyDescent="0.3">
      <c r="S423" s="60">
        <f t="shared" si="7"/>
        <v>0</v>
      </c>
    </row>
    <row r="424" spans="19:19" x14ac:dyDescent="0.3">
      <c r="S424" s="60">
        <f t="shared" si="7"/>
        <v>0</v>
      </c>
    </row>
    <row r="425" spans="19:19" x14ac:dyDescent="0.3">
      <c r="S425" s="60">
        <f t="shared" si="7"/>
        <v>0</v>
      </c>
    </row>
    <row r="426" spans="19:19" x14ac:dyDescent="0.3">
      <c r="S426" s="60">
        <f t="shared" si="7"/>
        <v>0</v>
      </c>
    </row>
    <row r="427" spans="19:19" x14ac:dyDescent="0.3">
      <c r="S427" s="60">
        <f t="shared" si="7"/>
        <v>0</v>
      </c>
    </row>
    <row r="428" spans="19:19" x14ac:dyDescent="0.3">
      <c r="S428" s="60">
        <f t="shared" si="7"/>
        <v>0</v>
      </c>
    </row>
    <row r="429" spans="19:19" x14ac:dyDescent="0.3">
      <c r="S429" s="60">
        <f t="shared" si="7"/>
        <v>0</v>
      </c>
    </row>
    <row r="430" spans="19:19" x14ac:dyDescent="0.3">
      <c r="S430" s="60">
        <f t="shared" si="7"/>
        <v>0</v>
      </c>
    </row>
    <row r="431" spans="19:19" x14ac:dyDescent="0.3">
      <c r="S431" s="60">
        <f t="shared" si="7"/>
        <v>0</v>
      </c>
    </row>
    <row r="432" spans="19:19" x14ac:dyDescent="0.3">
      <c r="S432" s="60">
        <f t="shared" si="7"/>
        <v>0</v>
      </c>
    </row>
    <row r="433" spans="19:19" x14ac:dyDescent="0.3">
      <c r="S433" s="60">
        <f t="shared" si="7"/>
        <v>0</v>
      </c>
    </row>
    <row r="434" spans="19:19" x14ac:dyDescent="0.3">
      <c r="S434" s="60">
        <f t="shared" si="7"/>
        <v>0</v>
      </c>
    </row>
    <row r="435" spans="19:19" x14ac:dyDescent="0.3">
      <c r="S435" s="60">
        <f t="shared" si="7"/>
        <v>0</v>
      </c>
    </row>
    <row r="436" spans="19:19" x14ac:dyDescent="0.3">
      <c r="S436" s="60">
        <f t="shared" si="7"/>
        <v>0</v>
      </c>
    </row>
    <row r="437" spans="19:19" x14ac:dyDescent="0.3">
      <c r="S437" s="60">
        <f t="shared" si="7"/>
        <v>0</v>
      </c>
    </row>
    <row r="438" spans="19:19" x14ac:dyDescent="0.3">
      <c r="S438" s="60">
        <f t="shared" si="7"/>
        <v>0</v>
      </c>
    </row>
    <row r="439" spans="19:19" x14ac:dyDescent="0.3">
      <c r="S439" s="60">
        <f t="shared" si="7"/>
        <v>0</v>
      </c>
    </row>
    <row r="440" spans="19:19" x14ac:dyDescent="0.3">
      <c r="S440" s="60">
        <f t="shared" si="7"/>
        <v>0</v>
      </c>
    </row>
    <row r="441" spans="19:19" x14ac:dyDescent="0.3">
      <c r="S441" s="60">
        <f t="shared" si="7"/>
        <v>0</v>
      </c>
    </row>
    <row r="442" spans="19:19" x14ac:dyDescent="0.3">
      <c r="S442" s="60">
        <f t="shared" si="7"/>
        <v>0</v>
      </c>
    </row>
    <row r="443" spans="19:19" x14ac:dyDescent="0.3">
      <c r="S443" s="60">
        <f t="shared" si="7"/>
        <v>0</v>
      </c>
    </row>
    <row r="444" spans="19:19" x14ac:dyDescent="0.3">
      <c r="S444" s="60">
        <f t="shared" si="7"/>
        <v>0</v>
      </c>
    </row>
    <row r="445" spans="19:19" x14ac:dyDescent="0.3">
      <c r="S445" s="60">
        <f t="shared" si="7"/>
        <v>0</v>
      </c>
    </row>
    <row r="446" spans="19:19" x14ac:dyDescent="0.3">
      <c r="S446" s="60">
        <f t="shared" si="7"/>
        <v>0</v>
      </c>
    </row>
    <row r="447" spans="19:19" x14ac:dyDescent="0.3">
      <c r="S447" s="60">
        <f t="shared" si="7"/>
        <v>0</v>
      </c>
    </row>
    <row r="448" spans="19:19" x14ac:dyDescent="0.3">
      <c r="S448" s="60">
        <f t="shared" si="7"/>
        <v>0</v>
      </c>
    </row>
    <row r="449" spans="19:19" x14ac:dyDescent="0.3">
      <c r="S449" s="60">
        <f t="shared" si="7"/>
        <v>0</v>
      </c>
    </row>
    <row r="450" spans="19:19" x14ac:dyDescent="0.3">
      <c r="S450" s="60">
        <f t="shared" si="7"/>
        <v>0</v>
      </c>
    </row>
    <row r="451" spans="19:19" x14ac:dyDescent="0.3">
      <c r="S451" s="60">
        <f t="shared" si="7"/>
        <v>0</v>
      </c>
    </row>
    <row r="452" spans="19:19" x14ac:dyDescent="0.3">
      <c r="S452" s="60">
        <f t="shared" si="7"/>
        <v>0</v>
      </c>
    </row>
    <row r="453" spans="19:19" x14ac:dyDescent="0.3">
      <c r="S453" s="60">
        <f t="shared" si="7"/>
        <v>0</v>
      </c>
    </row>
    <row r="454" spans="19:19" x14ac:dyDescent="0.3">
      <c r="S454" s="60">
        <f t="shared" si="7"/>
        <v>0</v>
      </c>
    </row>
    <row r="455" spans="19:19" x14ac:dyDescent="0.3">
      <c r="S455" s="60">
        <f t="shared" si="7"/>
        <v>0</v>
      </c>
    </row>
    <row r="456" spans="19:19" x14ac:dyDescent="0.3">
      <c r="S456" s="60">
        <f t="shared" si="7"/>
        <v>0</v>
      </c>
    </row>
    <row r="457" spans="19:19" x14ac:dyDescent="0.3">
      <c r="S457" s="60">
        <f t="shared" si="7"/>
        <v>0</v>
      </c>
    </row>
    <row r="458" spans="19:19" x14ac:dyDescent="0.3">
      <c r="S458" s="60">
        <f t="shared" si="7"/>
        <v>0</v>
      </c>
    </row>
    <row r="459" spans="19:19" x14ac:dyDescent="0.3">
      <c r="S459" s="60">
        <f t="shared" si="7"/>
        <v>0</v>
      </c>
    </row>
    <row r="460" spans="19:19" x14ac:dyDescent="0.3">
      <c r="S460" s="60">
        <f t="shared" si="7"/>
        <v>0</v>
      </c>
    </row>
    <row r="461" spans="19:19" x14ac:dyDescent="0.3">
      <c r="S461" s="60">
        <f t="shared" si="7"/>
        <v>0</v>
      </c>
    </row>
    <row r="462" spans="19:19" x14ac:dyDescent="0.3">
      <c r="S462" s="60">
        <f t="shared" ref="S462:S525" si="8">SUM(N462:R462)</f>
        <v>0</v>
      </c>
    </row>
    <row r="463" spans="19:19" x14ac:dyDescent="0.3">
      <c r="S463" s="60">
        <f t="shared" si="8"/>
        <v>0</v>
      </c>
    </row>
    <row r="464" spans="19:19" x14ac:dyDescent="0.3">
      <c r="S464" s="60">
        <f t="shared" si="8"/>
        <v>0</v>
      </c>
    </row>
    <row r="465" spans="19:19" x14ac:dyDescent="0.3">
      <c r="S465" s="60">
        <f t="shared" si="8"/>
        <v>0</v>
      </c>
    </row>
    <row r="466" spans="19:19" x14ac:dyDescent="0.3">
      <c r="S466" s="60">
        <f t="shared" si="8"/>
        <v>0</v>
      </c>
    </row>
    <row r="467" spans="19:19" x14ac:dyDescent="0.3">
      <c r="S467" s="60">
        <f t="shared" si="8"/>
        <v>0</v>
      </c>
    </row>
    <row r="468" spans="19:19" x14ac:dyDescent="0.3">
      <c r="S468" s="60">
        <f t="shared" si="8"/>
        <v>0</v>
      </c>
    </row>
    <row r="469" spans="19:19" x14ac:dyDescent="0.3">
      <c r="S469" s="60">
        <f t="shared" si="8"/>
        <v>0</v>
      </c>
    </row>
    <row r="470" spans="19:19" x14ac:dyDescent="0.3">
      <c r="S470" s="60">
        <f t="shared" si="8"/>
        <v>0</v>
      </c>
    </row>
    <row r="471" spans="19:19" x14ac:dyDescent="0.3">
      <c r="S471" s="60">
        <f t="shared" si="8"/>
        <v>0</v>
      </c>
    </row>
    <row r="472" spans="19:19" x14ac:dyDescent="0.3">
      <c r="S472" s="60">
        <f t="shared" si="8"/>
        <v>0</v>
      </c>
    </row>
    <row r="473" spans="19:19" x14ac:dyDescent="0.3">
      <c r="S473" s="60">
        <f t="shared" si="8"/>
        <v>0</v>
      </c>
    </row>
    <row r="474" spans="19:19" x14ac:dyDescent="0.3">
      <c r="S474" s="60">
        <f t="shared" si="8"/>
        <v>0</v>
      </c>
    </row>
    <row r="475" spans="19:19" x14ac:dyDescent="0.3">
      <c r="S475" s="60">
        <f t="shared" si="8"/>
        <v>0</v>
      </c>
    </row>
    <row r="476" spans="19:19" x14ac:dyDescent="0.3">
      <c r="S476" s="60">
        <f t="shared" si="8"/>
        <v>0</v>
      </c>
    </row>
    <row r="477" spans="19:19" x14ac:dyDescent="0.3">
      <c r="S477" s="60">
        <f t="shared" si="8"/>
        <v>0</v>
      </c>
    </row>
    <row r="478" spans="19:19" x14ac:dyDescent="0.3">
      <c r="S478" s="60">
        <f t="shared" si="8"/>
        <v>0</v>
      </c>
    </row>
    <row r="479" spans="19:19" x14ac:dyDescent="0.3">
      <c r="S479" s="60">
        <f t="shared" si="8"/>
        <v>0</v>
      </c>
    </row>
    <row r="480" spans="19:19" x14ac:dyDescent="0.3">
      <c r="S480" s="60">
        <f t="shared" si="8"/>
        <v>0</v>
      </c>
    </row>
    <row r="481" spans="19:19" x14ac:dyDescent="0.3">
      <c r="S481" s="60">
        <f t="shared" si="8"/>
        <v>0</v>
      </c>
    </row>
    <row r="482" spans="19:19" x14ac:dyDescent="0.3">
      <c r="S482" s="60">
        <f t="shared" si="8"/>
        <v>0</v>
      </c>
    </row>
    <row r="483" spans="19:19" x14ac:dyDescent="0.3">
      <c r="S483" s="60">
        <f t="shared" si="8"/>
        <v>0</v>
      </c>
    </row>
    <row r="484" spans="19:19" x14ac:dyDescent="0.3">
      <c r="S484" s="60">
        <f t="shared" si="8"/>
        <v>0</v>
      </c>
    </row>
    <row r="485" spans="19:19" x14ac:dyDescent="0.3">
      <c r="S485" s="60">
        <f t="shared" si="8"/>
        <v>0</v>
      </c>
    </row>
    <row r="486" spans="19:19" x14ac:dyDescent="0.3">
      <c r="S486" s="60">
        <f t="shared" si="8"/>
        <v>0</v>
      </c>
    </row>
    <row r="487" spans="19:19" x14ac:dyDescent="0.3">
      <c r="S487" s="60">
        <f t="shared" si="8"/>
        <v>0</v>
      </c>
    </row>
    <row r="488" spans="19:19" x14ac:dyDescent="0.3">
      <c r="S488" s="60">
        <f t="shared" si="8"/>
        <v>0</v>
      </c>
    </row>
    <row r="489" spans="19:19" x14ac:dyDescent="0.3">
      <c r="S489" s="60">
        <f t="shared" si="8"/>
        <v>0</v>
      </c>
    </row>
    <row r="490" spans="19:19" x14ac:dyDescent="0.3">
      <c r="S490" s="60">
        <f t="shared" si="8"/>
        <v>0</v>
      </c>
    </row>
    <row r="491" spans="19:19" x14ac:dyDescent="0.3">
      <c r="S491" s="60">
        <f t="shared" si="8"/>
        <v>0</v>
      </c>
    </row>
    <row r="492" spans="19:19" x14ac:dyDescent="0.3">
      <c r="S492" s="60">
        <f t="shared" si="8"/>
        <v>0</v>
      </c>
    </row>
    <row r="493" spans="19:19" x14ac:dyDescent="0.3">
      <c r="S493" s="60">
        <f t="shared" si="8"/>
        <v>0</v>
      </c>
    </row>
    <row r="494" spans="19:19" x14ac:dyDescent="0.3">
      <c r="S494" s="60">
        <f t="shared" si="8"/>
        <v>0</v>
      </c>
    </row>
    <row r="495" spans="19:19" x14ac:dyDescent="0.3">
      <c r="S495" s="60">
        <f t="shared" si="8"/>
        <v>0</v>
      </c>
    </row>
    <row r="496" spans="19:19" x14ac:dyDescent="0.3">
      <c r="S496" s="60">
        <f t="shared" si="8"/>
        <v>0</v>
      </c>
    </row>
    <row r="497" spans="19:19" x14ac:dyDescent="0.3">
      <c r="S497" s="60">
        <f t="shared" si="8"/>
        <v>0</v>
      </c>
    </row>
    <row r="498" spans="19:19" x14ac:dyDescent="0.3">
      <c r="S498" s="60">
        <f t="shared" si="8"/>
        <v>0</v>
      </c>
    </row>
    <row r="499" spans="19:19" x14ac:dyDescent="0.3">
      <c r="S499" s="60">
        <f t="shared" si="8"/>
        <v>0</v>
      </c>
    </row>
    <row r="500" spans="19:19" x14ac:dyDescent="0.3">
      <c r="S500" s="60">
        <f t="shared" si="8"/>
        <v>0</v>
      </c>
    </row>
    <row r="501" spans="19:19" x14ac:dyDescent="0.3">
      <c r="S501" s="60">
        <f t="shared" si="8"/>
        <v>0</v>
      </c>
    </row>
    <row r="502" spans="19:19" x14ac:dyDescent="0.3">
      <c r="S502" s="60">
        <f t="shared" si="8"/>
        <v>0</v>
      </c>
    </row>
    <row r="503" spans="19:19" x14ac:dyDescent="0.3">
      <c r="S503" s="60">
        <f t="shared" si="8"/>
        <v>0</v>
      </c>
    </row>
    <row r="504" spans="19:19" x14ac:dyDescent="0.3">
      <c r="S504" s="60">
        <f t="shared" si="8"/>
        <v>0</v>
      </c>
    </row>
    <row r="505" spans="19:19" x14ac:dyDescent="0.3">
      <c r="S505" s="60">
        <f t="shared" si="8"/>
        <v>0</v>
      </c>
    </row>
    <row r="506" spans="19:19" x14ac:dyDescent="0.3">
      <c r="S506" s="60">
        <f t="shared" si="8"/>
        <v>0</v>
      </c>
    </row>
    <row r="507" spans="19:19" x14ac:dyDescent="0.3">
      <c r="S507" s="60">
        <f t="shared" si="8"/>
        <v>0</v>
      </c>
    </row>
    <row r="508" spans="19:19" x14ac:dyDescent="0.3">
      <c r="S508" s="60">
        <f t="shared" si="8"/>
        <v>0</v>
      </c>
    </row>
    <row r="509" spans="19:19" x14ac:dyDescent="0.3">
      <c r="S509" s="60">
        <f t="shared" si="8"/>
        <v>0</v>
      </c>
    </row>
    <row r="510" spans="19:19" x14ac:dyDescent="0.3">
      <c r="S510" s="60">
        <f t="shared" si="8"/>
        <v>0</v>
      </c>
    </row>
    <row r="511" spans="19:19" x14ac:dyDescent="0.3">
      <c r="S511" s="60">
        <f t="shared" si="8"/>
        <v>0</v>
      </c>
    </row>
    <row r="512" spans="19:19" x14ac:dyDescent="0.3">
      <c r="S512" s="60">
        <f t="shared" si="8"/>
        <v>0</v>
      </c>
    </row>
    <row r="513" spans="19:19" x14ac:dyDescent="0.3">
      <c r="S513" s="60">
        <f t="shared" si="8"/>
        <v>0</v>
      </c>
    </row>
    <row r="514" spans="19:19" x14ac:dyDescent="0.3">
      <c r="S514" s="60">
        <f t="shared" si="8"/>
        <v>0</v>
      </c>
    </row>
    <row r="515" spans="19:19" x14ac:dyDescent="0.3">
      <c r="S515" s="60">
        <f t="shared" si="8"/>
        <v>0</v>
      </c>
    </row>
    <row r="516" spans="19:19" x14ac:dyDescent="0.3">
      <c r="S516" s="60">
        <f t="shared" si="8"/>
        <v>0</v>
      </c>
    </row>
    <row r="517" spans="19:19" x14ac:dyDescent="0.3">
      <c r="S517" s="60">
        <f t="shared" si="8"/>
        <v>0</v>
      </c>
    </row>
    <row r="518" spans="19:19" x14ac:dyDescent="0.3">
      <c r="S518" s="60">
        <f t="shared" si="8"/>
        <v>0</v>
      </c>
    </row>
    <row r="519" spans="19:19" x14ac:dyDescent="0.3">
      <c r="S519" s="60">
        <f t="shared" si="8"/>
        <v>0</v>
      </c>
    </row>
    <row r="520" spans="19:19" x14ac:dyDescent="0.3">
      <c r="S520" s="60">
        <f t="shared" si="8"/>
        <v>0</v>
      </c>
    </row>
    <row r="521" spans="19:19" x14ac:dyDescent="0.3">
      <c r="S521" s="60">
        <f t="shared" si="8"/>
        <v>0</v>
      </c>
    </row>
    <row r="522" spans="19:19" x14ac:dyDescent="0.3">
      <c r="S522" s="60">
        <f t="shared" si="8"/>
        <v>0</v>
      </c>
    </row>
    <row r="523" spans="19:19" x14ac:dyDescent="0.3">
      <c r="S523" s="60">
        <f t="shared" si="8"/>
        <v>0</v>
      </c>
    </row>
    <row r="524" spans="19:19" x14ac:dyDescent="0.3">
      <c r="S524" s="60">
        <f t="shared" si="8"/>
        <v>0</v>
      </c>
    </row>
    <row r="525" spans="19:19" x14ac:dyDescent="0.3">
      <c r="S525" s="60">
        <f t="shared" si="8"/>
        <v>0</v>
      </c>
    </row>
    <row r="526" spans="19:19" x14ac:dyDescent="0.3">
      <c r="S526" s="60">
        <f t="shared" ref="S526:S534" si="9">SUM(N526:R526)</f>
        <v>0</v>
      </c>
    </row>
    <row r="527" spans="19:19" x14ac:dyDescent="0.3">
      <c r="S527" s="60">
        <f t="shared" si="9"/>
        <v>0</v>
      </c>
    </row>
    <row r="528" spans="19:19" x14ac:dyDescent="0.3">
      <c r="S528" s="60">
        <f t="shared" si="9"/>
        <v>0</v>
      </c>
    </row>
    <row r="529" spans="19:19" x14ac:dyDescent="0.3">
      <c r="S529" s="60">
        <f t="shared" si="9"/>
        <v>0</v>
      </c>
    </row>
    <row r="530" spans="19:19" x14ac:dyDescent="0.3">
      <c r="S530" s="60">
        <f t="shared" si="9"/>
        <v>0</v>
      </c>
    </row>
    <row r="531" spans="19:19" x14ac:dyDescent="0.3">
      <c r="S531" s="60">
        <f t="shared" si="9"/>
        <v>0</v>
      </c>
    </row>
    <row r="532" spans="19:19" x14ac:dyDescent="0.3">
      <c r="S532" s="60">
        <f t="shared" si="9"/>
        <v>0</v>
      </c>
    </row>
    <row r="533" spans="19:19" x14ac:dyDescent="0.3">
      <c r="S533" s="60">
        <f t="shared" si="9"/>
        <v>0</v>
      </c>
    </row>
    <row r="534" spans="19:19" x14ac:dyDescent="0.3">
      <c r="S534" s="60">
        <f t="shared" si="9"/>
        <v>0</v>
      </c>
    </row>
  </sheetData>
  <autoFilter ref="A1:S1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59F0-ED95-4058-A84F-53D34F846639}">
  <sheetPr>
    <tabColor theme="5" tint="0.39997558519241921"/>
  </sheetPr>
  <dimension ref="A1:U525"/>
  <sheetViews>
    <sheetView topLeftCell="C1" workbookViewId="0">
      <pane ySplit="1" topLeftCell="A10" activePane="bottomLeft" state="frozen"/>
      <selection pane="bottomLeft" activeCell="R27" sqref="R27"/>
    </sheetView>
  </sheetViews>
  <sheetFormatPr defaultColWidth="8.88671875" defaultRowHeight="14.4" x14ac:dyDescent="0.3"/>
  <cols>
    <col min="1" max="1" width="23.6640625" style="2" customWidth="1"/>
    <col min="2" max="2" width="17.33203125" style="1" customWidth="1"/>
    <col min="3" max="3" width="31.6640625" style="2" customWidth="1"/>
    <col min="4" max="4" width="13.44140625" style="2" customWidth="1"/>
    <col min="5" max="5" width="14.33203125" style="2" customWidth="1"/>
    <col min="6" max="6" width="12.109375" style="2" customWidth="1"/>
    <col min="7" max="7" width="11.44140625" style="2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8.6640625" style="2" customWidth="1"/>
    <col min="18" max="18" width="8.88671875" style="2"/>
    <col min="19" max="19" width="8.88671875" style="13"/>
    <col min="20" max="16384" width="8.88671875" style="2"/>
  </cols>
  <sheetData>
    <row r="1" spans="1:21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67</v>
      </c>
      <c r="G1" s="11" t="s">
        <v>68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4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2" t="s">
        <v>18</v>
      </c>
      <c r="T1" s="7"/>
      <c r="U1" s="1"/>
    </row>
    <row r="2" spans="1:21" ht="28.8" x14ac:dyDescent="0.3">
      <c r="A2" s="2" t="s">
        <v>89</v>
      </c>
      <c r="B2" s="1" t="s">
        <v>90</v>
      </c>
      <c r="C2" s="59" t="s">
        <v>91</v>
      </c>
      <c r="D2" s="1" t="s">
        <v>92</v>
      </c>
      <c r="E2" s="2" t="s">
        <v>93</v>
      </c>
      <c r="F2" s="57">
        <v>45706</v>
      </c>
      <c r="G2" s="57">
        <v>45709</v>
      </c>
      <c r="H2" s="2">
        <v>4</v>
      </c>
      <c r="I2" s="2" t="s">
        <v>54</v>
      </c>
      <c r="J2" s="2" t="s">
        <v>55</v>
      </c>
      <c r="L2" s="2">
        <v>142</v>
      </c>
      <c r="N2" s="2">
        <v>2011</v>
      </c>
      <c r="O2" s="2">
        <v>230</v>
      </c>
      <c r="P2" s="2">
        <v>1079</v>
      </c>
      <c r="Q2" s="2">
        <v>581</v>
      </c>
      <c r="R2" s="2">
        <v>200</v>
      </c>
      <c r="S2" s="13">
        <f t="shared" ref="S2:S12" si="0">SUM(N2:R2)</f>
        <v>4101</v>
      </c>
    </row>
    <row r="3" spans="1:21" ht="28.8" x14ac:dyDescent="0.3">
      <c r="A3" s="2" t="s">
        <v>94</v>
      </c>
      <c r="B3" s="1" t="s">
        <v>90</v>
      </c>
      <c r="C3" s="59" t="s">
        <v>95</v>
      </c>
      <c r="D3" s="1" t="s">
        <v>96</v>
      </c>
      <c r="E3" s="2" t="s">
        <v>97</v>
      </c>
      <c r="F3" s="57">
        <v>45715</v>
      </c>
      <c r="G3" s="57">
        <v>45716</v>
      </c>
      <c r="H3" s="2">
        <v>2</v>
      </c>
      <c r="I3" s="2" t="s">
        <v>54</v>
      </c>
      <c r="J3" s="2" t="s">
        <v>55</v>
      </c>
      <c r="L3" s="2">
        <v>197</v>
      </c>
      <c r="N3" s="2">
        <v>1005</v>
      </c>
      <c r="O3" s="2">
        <v>115</v>
      </c>
      <c r="P3" s="2">
        <v>360</v>
      </c>
      <c r="Q3" s="2">
        <v>581</v>
      </c>
      <c r="S3" s="13">
        <f t="shared" si="0"/>
        <v>2061</v>
      </c>
    </row>
    <row r="4" spans="1:21" x14ac:dyDescent="0.3">
      <c r="A4" s="2" t="s">
        <v>201</v>
      </c>
      <c r="B4" s="1" t="s">
        <v>21</v>
      </c>
      <c r="C4" s="59" t="s">
        <v>202</v>
      </c>
      <c r="D4" s="1"/>
      <c r="E4" s="57">
        <v>45716</v>
      </c>
      <c r="F4" s="57">
        <v>45716</v>
      </c>
      <c r="G4" s="57">
        <v>45716</v>
      </c>
      <c r="H4" s="2">
        <v>1</v>
      </c>
      <c r="N4" s="2">
        <v>3152</v>
      </c>
      <c r="S4" s="13">
        <f t="shared" si="0"/>
        <v>3152</v>
      </c>
    </row>
    <row r="5" spans="1:21" ht="28.8" x14ac:dyDescent="0.3">
      <c r="A5" s="2" t="s">
        <v>99</v>
      </c>
      <c r="B5" s="1" t="s">
        <v>90</v>
      </c>
      <c r="C5" s="1" t="s">
        <v>100</v>
      </c>
      <c r="D5" s="1" t="s">
        <v>101</v>
      </c>
      <c r="E5" s="2" t="s">
        <v>98</v>
      </c>
      <c r="F5" s="57">
        <v>45720</v>
      </c>
      <c r="G5" s="57">
        <v>45723</v>
      </c>
      <c r="H5" s="2">
        <v>4</v>
      </c>
      <c r="I5" s="2" t="s">
        <v>54</v>
      </c>
      <c r="J5" s="2" t="s">
        <v>55</v>
      </c>
      <c r="L5" s="2">
        <v>285</v>
      </c>
      <c r="N5" s="2">
        <v>2010</v>
      </c>
      <c r="O5" s="2">
        <v>230</v>
      </c>
      <c r="P5" s="2">
        <v>1356</v>
      </c>
      <c r="Q5" s="2">
        <v>325</v>
      </c>
      <c r="S5" s="13">
        <f t="shared" si="0"/>
        <v>3921</v>
      </c>
    </row>
    <row r="6" spans="1:21" ht="28.8" x14ac:dyDescent="0.3">
      <c r="A6" s="2" t="s">
        <v>103</v>
      </c>
      <c r="B6" s="1" t="s">
        <v>90</v>
      </c>
      <c r="C6" s="59" t="s">
        <v>104</v>
      </c>
      <c r="D6" s="1" t="s">
        <v>92</v>
      </c>
      <c r="E6" s="2" t="s">
        <v>105</v>
      </c>
      <c r="F6" s="57">
        <v>45734</v>
      </c>
      <c r="G6" s="57">
        <v>45737</v>
      </c>
      <c r="H6" s="2">
        <v>4</v>
      </c>
      <c r="I6" s="2" t="s">
        <v>54</v>
      </c>
      <c r="J6" s="2" t="s">
        <v>55</v>
      </c>
      <c r="L6" s="2">
        <v>412</v>
      </c>
      <c r="N6" s="2">
        <v>2011</v>
      </c>
      <c r="O6" s="2">
        <v>230</v>
      </c>
      <c r="P6" s="2">
        <v>1356</v>
      </c>
      <c r="Q6" s="2">
        <v>663</v>
      </c>
      <c r="S6" s="13">
        <f t="shared" si="0"/>
        <v>4260</v>
      </c>
    </row>
    <row r="7" spans="1:21" x14ac:dyDescent="0.3">
      <c r="A7" s="2" t="s">
        <v>201</v>
      </c>
      <c r="B7" s="1" t="s">
        <v>21</v>
      </c>
      <c r="C7" s="59" t="s">
        <v>230</v>
      </c>
      <c r="D7" s="1"/>
      <c r="E7" s="57">
        <v>45747</v>
      </c>
      <c r="F7" s="57">
        <v>45747</v>
      </c>
      <c r="G7" s="57">
        <v>45747</v>
      </c>
      <c r="H7" s="2">
        <v>1</v>
      </c>
      <c r="N7" s="2">
        <v>3546</v>
      </c>
      <c r="S7" s="13">
        <f t="shared" si="0"/>
        <v>3546</v>
      </c>
    </row>
    <row r="8" spans="1:21" ht="28.8" x14ac:dyDescent="0.3">
      <c r="A8" s="2" t="s">
        <v>158</v>
      </c>
      <c r="B8" s="1" t="s">
        <v>90</v>
      </c>
      <c r="C8" s="59" t="s">
        <v>125</v>
      </c>
      <c r="D8" s="2" t="s">
        <v>63</v>
      </c>
      <c r="E8" s="2" t="s">
        <v>159</v>
      </c>
      <c r="F8" s="57">
        <v>45756</v>
      </c>
      <c r="G8" s="57">
        <v>45758</v>
      </c>
      <c r="H8" s="2">
        <v>3</v>
      </c>
      <c r="I8" s="2" t="s">
        <v>54</v>
      </c>
      <c r="J8" s="2" t="s">
        <v>55</v>
      </c>
      <c r="L8" s="2">
        <v>602</v>
      </c>
      <c r="N8" s="2">
        <v>1508</v>
      </c>
      <c r="O8" s="2">
        <v>172.5</v>
      </c>
      <c r="P8" s="2">
        <v>904</v>
      </c>
      <c r="R8" s="2">
        <v>200</v>
      </c>
      <c r="S8" s="13">
        <f t="shared" si="0"/>
        <v>2784.5</v>
      </c>
    </row>
    <row r="9" spans="1:21" ht="28.8" x14ac:dyDescent="0.3">
      <c r="A9" s="2" t="s">
        <v>94</v>
      </c>
      <c r="B9" s="1" t="s">
        <v>90</v>
      </c>
      <c r="C9" s="59" t="s">
        <v>179</v>
      </c>
      <c r="D9" s="2" t="s">
        <v>180</v>
      </c>
      <c r="E9" s="2" t="s">
        <v>181</v>
      </c>
      <c r="F9" s="57">
        <v>45824</v>
      </c>
      <c r="G9" s="57">
        <v>45828</v>
      </c>
      <c r="H9" s="2">
        <v>5</v>
      </c>
      <c r="I9" s="2" t="s">
        <v>54</v>
      </c>
      <c r="J9" s="2" t="s">
        <v>65</v>
      </c>
      <c r="L9" s="2">
        <v>1137</v>
      </c>
      <c r="N9" s="2">
        <v>2033</v>
      </c>
      <c r="O9" s="2">
        <v>287.5</v>
      </c>
      <c r="P9" s="2">
        <v>1025</v>
      </c>
      <c r="S9" s="13">
        <f t="shared" si="0"/>
        <v>3345.5</v>
      </c>
    </row>
    <row r="10" spans="1:21" ht="28.8" x14ac:dyDescent="0.3">
      <c r="A10" s="2" t="s">
        <v>66</v>
      </c>
      <c r="B10" s="1" t="s">
        <v>28</v>
      </c>
      <c r="C10" s="2" t="s">
        <v>176</v>
      </c>
      <c r="E10" s="57" t="s">
        <v>177</v>
      </c>
      <c r="F10" s="57">
        <v>45812</v>
      </c>
      <c r="G10" s="57">
        <v>45814</v>
      </c>
      <c r="H10" s="2">
        <v>2</v>
      </c>
      <c r="I10" s="2" t="s">
        <v>178</v>
      </c>
      <c r="J10" s="2" t="s">
        <v>65</v>
      </c>
      <c r="L10" s="2">
        <v>1069</v>
      </c>
      <c r="O10" s="2">
        <v>115</v>
      </c>
      <c r="S10" s="13">
        <f t="shared" si="0"/>
        <v>115</v>
      </c>
    </row>
    <row r="11" spans="1:21" x14ac:dyDescent="0.3">
      <c r="A11" s="2" t="s">
        <v>99</v>
      </c>
      <c r="B11" s="1" t="s">
        <v>90</v>
      </c>
      <c r="C11" s="2" t="s">
        <v>235</v>
      </c>
      <c r="E11" s="57">
        <v>45783</v>
      </c>
      <c r="F11" s="57">
        <v>45783</v>
      </c>
      <c r="G11" s="57">
        <v>45783</v>
      </c>
      <c r="H11" s="2">
        <v>1</v>
      </c>
      <c r="N11" s="2">
        <v>900</v>
      </c>
      <c r="S11" s="13">
        <f t="shared" si="0"/>
        <v>900</v>
      </c>
    </row>
    <row r="12" spans="1:21" x14ac:dyDescent="0.3">
      <c r="A12" s="2" t="s">
        <v>236</v>
      </c>
      <c r="B12" s="1" t="s">
        <v>90</v>
      </c>
      <c r="C12" s="2" t="s">
        <v>237</v>
      </c>
      <c r="E12" s="57">
        <v>45841</v>
      </c>
      <c r="F12" s="57">
        <v>45841</v>
      </c>
      <c r="G12" s="57">
        <v>45841</v>
      </c>
      <c r="H12" s="2">
        <v>1</v>
      </c>
      <c r="N12" s="2">
        <v>189</v>
      </c>
      <c r="S12" s="13">
        <f t="shared" si="0"/>
        <v>189</v>
      </c>
    </row>
    <row r="13" spans="1:21" ht="28.8" x14ac:dyDescent="0.3">
      <c r="A13" s="2" t="s">
        <v>94</v>
      </c>
      <c r="B13" s="1" t="s">
        <v>90</v>
      </c>
      <c r="C13" s="59" t="s">
        <v>184</v>
      </c>
      <c r="D13" s="2" t="s">
        <v>186</v>
      </c>
      <c r="E13" s="57">
        <v>45855</v>
      </c>
      <c r="F13" s="57">
        <v>45854</v>
      </c>
      <c r="G13" s="57">
        <v>45855</v>
      </c>
      <c r="H13" s="2">
        <v>2</v>
      </c>
      <c r="I13" s="2" t="s">
        <v>54</v>
      </c>
      <c r="J13" s="2" t="s">
        <v>65</v>
      </c>
      <c r="N13" s="2">
        <v>512</v>
      </c>
      <c r="O13" s="2">
        <v>115</v>
      </c>
      <c r="P13" s="2">
        <v>228</v>
      </c>
      <c r="S13" s="13">
        <f t="shared" ref="S13:S68" si="1">SUM(N13:R13)</f>
        <v>855</v>
      </c>
    </row>
    <row r="14" spans="1:21" x14ac:dyDescent="0.3">
      <c r="A14" s="2" t="s">
        <v>89</v>
      </c>
      <c r="B14" s="1" t="s">
        <v>90</v>
      </c>
      <c r="C14" s="2" t="s">
        <v>280</v>
      </c>
      <c r="E14" s="57">
        <v>45855</v>
      </c>
      <c r="F14" s="57">
        <v>45854</v>
      </c>
      <c r="G14" s="57">
        <v>45855</v>
      </c>
      <c r="H14" s="2">
        <v>2</v>
      </c>
      <c r="I14" s="2" t="s">
        <v>54</v>
      </c>
      <c r="J14" s="2" t="s">
        <v>65</v>
      </c>
      <c r="N14" s="2">
        <v>512</v>
      </c>
      <c r="O14" s="2">
        <v>115</v>
      </c>
      <c r="S14" s="13">
        <f t="shared" si="1"/>
        <v>627</v>
      </c>
    </row>
    <row r="15" spans="1:21" x14ac:dyDescent="0.3">
      <c r="A15" s="2" t="s">
        <v>281</v>
      </c>
      <c r="B15" s="1" t="s">
        <v>90</v>
      </c>
      <c r="C15" s="2" t="s">
        <v>280</v>
      </c>
      <c r="E15" s="57">
        <v>45855</v>
      </c>
      <c r="F15" s="57">
        <v>45854</v>
      </c>
      <c r="G15" s="57">
        <v>45855</v>
      </c>
      <c r="H15" s="2">
        <v>2</v>
      </c>
      <c r="I15" s="2" t="s">
        <v>54</v>
      </c>
      <c r="J15" s="2" t="s">
        <v>65</v>
      </c>
      <c r="N15" s="2">
        <v>512</v>
      </c>
      <c r="O15" s="2">
        <v>115</v>
      </c>
      <c r="S15" s="13">
        <f t="shared" si="1"/>
        <v>627</v>
      </c>
    </row>
    <row r="16" spans="1:21" x14ac:dyDescent="0.3">
      <c r="A16" s="2" t="s">
        <v>201</v>
      </c>
      <c r="B16" s="1" t="s">
        <v>21</v>
      </c>
      <c r="C16" s="2" t="s">
        <v>282</v>
      </c>
      <c r="D16" s="57"/>
      <c r="E16" s="57">
        <v>45862</v>
      </c>
      <c r="F16" s="57">
        <v>45862</v>
      </c>
      <c r="G16" s="57">
        <v>45862</v>
      </c>
      <c r="H16" s="2">
        <v>1</v>
      </c>
      <c r="I16" s="2" t="s">
        <v>54</v>
      </c>
      <c r="J16" s="2" t="s">
        <v>55</v>
      </c>
      <c r="O16" s="2">
        <v>57.5</v>
      </c>
      <c r="S16" s="13">
        <f t="shared" si="1"/>
        <v>57.5</v>
      </c>
    </row>
    <row r="17" spans="1:19" x14ac:dyDescent="0.3">
      <c r="A17" s="2" t="s">
        <v>283</v>
      </c>
      <c r="B17" s="1" t="s">
        <v>21</v>
      </c>
      <c r="C17" s="2" t="s">
        <v>285</v>
      </c>
      <c r="E17" s="64" t="s">
        <v>286</v>
      </c>
      <c r="F17" s="57">
        <v>45879</v>
      </c>
      <c r="G17" s="57">
        <v>45881</v>
      </c>
      <c r="H17" s="2">
        <v>3</v>
      </c>
      <c r="I17" s="2" t="s">
        <v>287</v>
      </c>
      <c r="J17" s="2" t="s">
        <v>55</v>
      </c>
      <c r="O17" s="2">
        <v>443</v>
      </c>
      <c r="S17" s="13">
        <f t="shared" si="1"/>
        <v>443</v>
      </c>
    </row>
    <row r="18" spans="1:19" ht="28.8" x14ac:dyDescent="0.3">
      <c r="A18" s="2" t="s">
        <v>66</v>
      </c>
      <c r="B18" s="1" t="s">
        <v>28</v>
      </c>
      <c r="C18" s="2" t="s">
        <v>285</v>
      </c>
      <c r="E18" s="64" t="s">
        <v>286</v>
      </c>
      <c r="F18" s="57">
        <v>45879</v>
      </c>
      <c r="G18" s="57">
        <v>45881</v>
      </c>
      <c r="H18" s="2">
        <v>3</v>
      </c>
      <c r="I18" s="2" t="s">
        <v>287</v>
      </c>
      <c r="J18" s="2" t="s">
        <v>55</v>
      </c>
      <c r="O18" s="2">
        <v>443</v>
      </c>
      <c r="S18" s="13">
        <f t="shared" si="1"/>
        <v>443</v>
      </c>
    </row>
    <row r="19" spans="1:19" x14ac:dyDescent="0.3">
      <c r="A19" s="2" t="s">
        <v>284</v>
      </c>
      <c r="B19" s="1" t="s">
        <v>21</v>
      </c>
      <c r="C19" s="2" t="s">
        <v>285</v>
      </c>
      <c r="E19" s="64" t="s">
        <v>286</v>
      </c>
      <c r="F19" s="57">
        <v>45879</v>
      </c>
      <c r="G19" s="57">
        <v>45881</v>
      </c>
      <c r="H19" s="2">
        <v>3</v>
      </c>
      <c r="I19" s="2" t="s">
        <v>287</v>
      </c>
      <c r="J19" s="2" t="s">
        <v>55</v>
      </c>
      <c r="O19" s="2">
        <v>443</v>
      </c>
      <c r="S19" s="13">
        <f t="shared" si="1"/>
        <v>443</v>
      </c>
    </row>
    <row r="20" spans="1:19" x14ac:dyDescent="0.3">
      <c r="A20" s="2" t="s">
        <v>94</v>
      </c>
      <c r="B20" s="1" t="s">
        <v>90</v>
      </c>
      <c r="C20" s="2" t="s">
        <v>285</v>
      </c>
      <c r="E20" s="64" t="s">
        <v>286</v>
      </c>
      <c r="F20" s="57">
        <v>45879</v>
      </c>
      <c r="G20" s="57">
        <v>45881</v>
      </c>
      <c r="H20" s="2">
        <v>3</v>
      </c>
      <c r="I20" s="2" t="s">
        <v>287</v>
      </c>
      <c r="J20" s="2" t="s">
        <v>55</v>
      </c>
      <c r="O20" s="2">
        <v>443</v>
      </c>
      <c r="S20" s="13">
        <f t="shared" si="1"/>
        <v>443</v>
      </c>
    </row>
    <row r="21" spans="1:19" x14ac:dyDescent="0.3">
      <c r="A21" s="2" t="s">
        <v>288</v>
      </c>
      <c r="B21" s="1" t="s">
        <v>21</v>
      </c>
      <c r="C21" s="2" t="s">
        <v>285</v>
      </c>
      <c r="E21" s="64" t="s">
        <v>290</v>
      </c>
      <c r="F21" s="57">
        <v>45881</v>
      </c>
      <c r="G21" s="57">
        <v>45883</v>
      </c>
      <c r="H21" s="2">
        <v>3</v>
      </c>
      <c r="I21" s="2" t="s">
        <v>287</v>
      </c>
      <c r="J21" s="2" t="s">
        <v>55</v>
      </c>
      <c r="O21" s="2">
        <v>443</v>
      </c>
      <c r="S21" s="13">
        <f t="shared" si="1"/>
        <v>443</v>
      </c>
    </row>
    <row r="22" spans="1:19" x14ac:dyDescent="0.3">
      <c r="A22" s="2" t="s">
        <v>289</v>
      </c>
      <c r="B22" s="1" t="s">
        <v>21</v>
      </c>
      <c r="C22" s="2" t="s">
        <v>285</v>
      </c>
      <c r="E22" s="64" t="s">
        <v>290</v>
      </c>
      <c r="F22" s="57">
        <v>45881</v>
      </c>
      <c r="G22" s="57">
        <v>45883</v>
      </c>
      <c r="H22" s="2">
        <v>3</v>
      </c>
      <c r="I22" s="2" t="s">
        <v>287</v>
      </c>
      <c r="J22" s="2" t="s">
        <v>55</v>
      </c>
      <c r="O22" s="2">
        <v>443</v>
      </c>
      <c r="S22" s="13">
        <f t="shared" si="1"/>
        <v>443</v>
      </c>
    </row>
    <row r="23" spans="1:19" x14ac:dyDescent="0.3">
      <c r="A23" s="2" t="s">
        <v>201</v>
      </c>
      <c r="B23" s="1" t="s">
        <v>21</v>
      </c>
      <c r="C23" s="2" t="s">
        <v>285</v>
      </c>
      <c r="E23" s="64" t="s">
        <v>290</v>
      </c>
      <c r="F23" s="57">
        <v>45881</v>
      </c>
      <c r="G23" s="57">
        <v>45883</v>
      </c>
      <c r="H23" s="2">
        <v>3</v>
      </c>
      <c r="I23" s="2" t="s">
        <v>287</v>
      </c>
      <c r="J23" s="2" t="s">
        <v>55</v>
      </c>
      <c r="O23" s="2">
        <v>443</v>
      </c>
      <c r="S23" s="13">
        <f t="shared" si="1"/>
        <v>443</v>
      </c>
    </row>
    <row r="24" spans="1:19" x14ac:dyDescent="0.3">
      <c r="A24" s="2" t="s">
        <v>236</v>
      </c>
      <c r="B24" s="1" t="s">
        <v>90</v>
      </c>
      <c r="C24" s="2" t="s">
        <v>285</v>
      </c>
      <c r="E24" s="64" t="s">
        <v>290</v>
      </c>
      <c r="F24" s="57">
        <v>45881</v>
      </c>
      <c r="G24" s="57">
        <v>45883</v>
      </c>
      <c r="H24" s="2">
        <v>3</v>
      </c>
      <c r="I24" s="2" t="s">
        <v>287</v>
      </c>
      <c r="J24" s="2" t="s">
        <v>55</v>
      </c>
      <c r="O24" s="2">
        <v>443</v>
      </c>
      <c r="S24" s="13">
        <f t="shared" si="1"/>
        <v>443</v>
      </c>
    </row>
    <row r="25" spans="1:19" x14ac:dyDescent="0.3">
      <c r="A25" s="2" t="s">
        <v>201</v>
      </c>
      <c r="B25" s="1" t="s">
        <v>21</v>
      </c>
      <c r="C25" s="2" t="s">
        <v>291</v>
      </c>
      <c r="E25" s="57">
        <v>45925</v>
      </c>
      <c r="F25" s="57">
        <v>45925</v>
      </c>
      <c r="G25" s="57">
        <v>45925</v>
      </c>
      <c r="H25" s="2">
        <v>1</v>
      </c>
      <c r="I25" s="2" t="s">
        <v>54</v>
      </c>
      <c r="J25" s="2" t="s">
        <v>55</v>
      </c>
      <c r="O25" s="2">
        <v>57.5</v>
      </c>
      <c r="Q25" s="2">
        <v>510</v>
      </c>
      <c r="S25" s="13">
        <f t="shared" si="1"/>
        <v>567.5</v>
      </c>
    </row>
    <row r="26" spans="1:19" x14ac:dyDescent="0.3">
      <c r="A26" s="2" t="s">
        <v>201</v>
      </c>
      <c r="B26" s="1" t="s">
        <v>21</v>
      </c>
      <c r="C26" s="2" t="s">
        <v>308</v>
      </c>
      <c r="E26" s="2" t="s">
        <v>309</v>
      </c>
      <c r="F26" s="2" t="s">
        <v>310</v>
      </c>
      <c r="G26" s="2" t="s">
        <v>311</v>
      </c>
      <c r="H26" s="2">
        <v>5</v>
      </c>
      <c r="I26" s="2" t="s">
        <v>54</v>
      </c>
      <c r="J26" s="2" t="s">
        <v>55</v>
      </c>
      <c r="O26" s="2">
        <v>287.5</v>
      </c>
      <c r="S26" s="13">
        <f t="shared" si="1"/>
        <v>287.5</v>
      </c>
    </row>
    <row r="27" spans="1:19" x14ac:dyDescent="0.3">
      <c r="A27" s="2" t="s">
        <v>236</v>
      </c>
      <c r="B27" s="1" t="s">
        <v>90</v>
      </c>
      <c r="C27" s="2" t="s">
        <v>330</v>
      </c>
      <c r="E27" s="2" t="s">
        <v>331</v>
      </c>
      <c r="F27" s="57">
        <v>45974</v>
      </c>
      <c r="G27" s="57">
        <v>45975</v>
      </c>
      <c r="H27" s="2">
        <v>2</v>
      </c>
      <c r="I27" s="2" t="s">
        <v>143</v>
      </c>
      <c r="J27" s="2" t="s">
        <v>65</v>
      </c>
      <c r="O27" s="2">
        <v>115</v>
      </c>
      <c r="S27" s="13">
        <f t="shared" si="1"/>
        <v>115</v>
      </c>
    </row>
    <row r="28" spans="1:19" x14ac:dyDescent="0.3">
      <c r="S28" s="13">
        <f t="shared" si="1"/>
        <v>0</v>
      </c>
    </row>
    <row r="29" spans="1:19" x14ac:dyDescent="0.3">
      <c r="S29" s="13">
        <f t="shared" si="1"/>
        <v>0</v>
      </c>
    </row>
    <row r="30" spans="1:19" x14ac:dyDescent="0.3">
      <c r="S30" s="13">
        <f t="shared" si="1"/>
        <v>0</v>
      </c>
    </row>
    <row r="31" spans="1:19" x14ac:dyDescent="0.3">
      <c r="S31" s="13">
        <f t="shared" si="1"/>
        <v>0</v>
      </c>
    </row>
    <row r="32" spans="1:19" x14ac:dyDescent="0.3">
      <c r="S32" s="13">
        <f t="shared" si="1"/>
        <v>0</v>
      </c>
    </row>
    <row r="33" spans="19:19" x14ac:dyDescent="0.3">
      <c r="S33" s="13">
        <f t="shared" si="1"/>
        <v>0</v>
      </c>
    </row>
    <row r="34" spans="19:19" x14ac:dyDescent="0.3">
      <c r="S34" s="13">
        <f t="shared" si="1"/>
        <v>0</v>
      </c>
    </row>
    <row r="35" spans="19:19" x14ac:dyDescent="0.3">
      <c r="S35" s="13">
        <f t="shared" si="1"/>
        <v>0</v>
      </c>
    </row>
    <row r="36" spans="19:19" x14ac:dyDescent="0.3">
      <c r="S36" s="13">
        <f t="shared" si="1"/>
        <v>0</v>
      </c>
    </row>
    <row r="37" spans="19:19" x14ac:dyDescent="0.3">
      <c r="S37" s="13">
        <f t="shared" si="1"/>
        <v>0</v>
      </c>
    </row>
    <row r="38" spans="19:19" x14ac:dyDescent="0.3">
      <c r="S38" s="13">
        <f t="shared" si="1"/>
        <v>0</v>
      </c>
    </row>
    <row r="39" spans="19:19" x14ac:dyDescent="0.3">
      <c r="S39" s="13">
        <f t="shared" si="1"/>
        <v>0</v>
      </c>
    </row>
    <row r="40" spans="19:19" x14ac:dyDescent="0.3">
      <c r="S40" s="13">
        <f t="shared" si="1"/>
        <v>0</v>
      </c>
    </row>
    <row r="41" spans="19:19" x14ac:dyDescent="0.3">
      <c r="S41" s="13">
        <f t="shared" si="1"/>
        <v>0</v>
      </c>
    </row>
    <row r="42" spans="19:19" x14ac:dyDescent="0.3">
      <c r="S42" s="13">
        <f t="shared" si="1"/>
        <v>0</v>
      </c>
    </row>
    <row r="43" spans="19:19" x14ac:dyDescent="0.3">
      <c r="S43" s="13">
        <f t="shared" si="1"/>
        <v>0</v>
      </c>
    </row>
    <row r="44" spans="19:19" x14ac:dyDescent="0.3">
      <c r="S44" s="13">
        <f t="shared" si="1"/>
        <v>0</v>
      </c>
    </row>
    <row r="45" spans="19:19" x14ac:dyDescent="0.3">
      <c r="S45" s="13">
        <f t="shared" si="1"/>
        <v>0</v>
      </c>
    </row>
    <row r="46" spans="19:19" x14ac:dyDescent="0.3">
      <c r="S46" s="13">
        <f t="shared" si="1"/>
        <v>0</v>
      </c>
    </row>
    <row r="47" spans="19:19" x14ac:dyDescent="0.3">
      <c r="S47" s="13">
        <f t="shared" si="1"/>
        <v>0</v>
      </c>
    </row>
    <row r="48" spans="19:19" x14ac:dyDescent="0.3">
      <c r="S48" s="13">
        <f t="shared" si="1"/>
        <v>0</v>
      </c>
    </row>
    <row r="49" spans="19:19" x14ac:dyDescent="0.3">
      <c r="S49" s="13">
        <f t="shared" si="1"/>
        <v>0</v>
      </c>
    </row>
    <row r="50" spans="19:19" x14ac:dyDescent="0.3">
      <c r="S50" s="13">
        <f t="shared" si="1"/>
        <v>0</v>
      </c>
    </row>
    <row r="51" spans="19:19" x14ac:dyDescent="0.3">
      <c r="S51" s="13">
        <f t="shared" si="1"/>
        <v>0</v>
      </c>
    </row>
    <row r="52" spans="19:19" x14ac:dyDescent="0.3">
      <c r="S52" s="13">
        <f t="shared" si="1"/>
        <v>0</v>
      </c>
    </row>
    <row r="53" spans="19:19" x14ac:dyDescent="0.3">
      <c r="S53" s="13">
        <f t="shared" si="1"/>
        <v>0</v>
      </c>
    </row>
    <row r="54" spans="19:19" x14ac:dyDescent="0.3">
      <c r="S54" s="13">
        <f t="shared" si="1"/>
        <v>0</v>
      </c>
    </row>
    <row r="55" spans="19:19" x14ac:dyDescent="0.3">
      <c r="S55" s="13">
        <f t="shared" si="1"/>
        <v>0</v>
      </c>
    </row>
    <row r="56" spans="19:19" x14ac:dyDescent="0.3">
      <c r="S56" s="13">
        <f t="shared" si="1"/>
        <v>0</v>
      </c>
    </row>
    <row r="57" spans="19:19" x14ac:dyDescent="0.3">
      <c r="S57" s="13">
        <f t="shared" si="1"/>
        <v>0</v>
      </c>
    </row>
    <row r="58" spans="19:19" x14ac:dyDescent="0.3">
      <c r="S58" s="13">
        <f t="shared" si="1"/>
        <v>0</v>
      </c>
    </row>
    <row r="59" spans="19:19" x14ac:dyDescent="0.3">
      <c r="S59" s="13">
        <f t="shared" si="1"/>
        <v>0</v>
      </c>
    </row>
    <row r="60" spans="19:19" x14ac:dyDescent="0.3">
      <c r="S60" s="13">
        <f t="shared" si="1"/>
        <v>0</v>
      </c>
    </row>
    <row r="61" spans="19:19" x14ac:dyDescent="0.3">
      <c r="S61" s="13">
        <f t="shared" si="1"/>
        <v>0</v>
      </c>
    </row>
    <row r="62" spans="19:19" x14ac:dyDescent="0.3">
      <c r="S62" s="13">
        <f t="shared" si="1"/>
        <v>0</v>
      </c>
    </row>
    <row r="63" spans="19:19" x14ac:dyDescent="0.3">
      <c r="S63" s="13">
        <f t="shared" si="1"/>
        <v>0</v>
      </c>
    </row>
    <row r="64" spans="19:19" x14ac:dyDescent="0.3">
      <c r="S64" s="13">
        <f t="shared" si="1"/>
        <v>0</v>
      </c>
    </row>
    <row r="65" spans="19:19" x14ac:dyDescent="0.3">
      <c r="S65" s="13">
        <f t="shared" si="1"/>
        <v>0</v>
      </c>
    </row>
    <row r="66" spans="19:19" x14ac:dyDescent="0.3">
      <c r="S66" s="13">
        <f t="shared" si="1"/>
        <v>0</v>
      </c>
    </row>
    <row r="67" spans="19:19" x14ac:dyDescent="0.3">
      <c r="S67" s="13">
        <f t="shared" si="1"/>
        <v>0</v>
      </c>
    </row>
    <row r="68" spans="19:19" x14ac:dyDescent="0.3">
      <c r="S68" s="13">
        <f t="shared" si="1"/>
        <v>0</v>
      </c>
    </row>
    <row r="69" spans="19:19" x14ac:dyDescent="0.3">
      <c r="S69" s="13">
        <f t="shared" ref="S69:S132" si="2">SUM(N69:R69)</f>
        <v>0</v>
      </c>
    </row>
    <row r="70" spans="19:19" x14ac:dyDescent="0.3">
      <c r="S70" s="13">
        <f t="shared" si="2"/>
        <v>0</v>
      </c>
    </row>
    <row r="71" spans="19:19" x14ac:dyDescent="0.3">
      <c r="S71" s="13">
        <f t="shared" si="2"/>
        <v>0</v>
      </c>
    </row>
    <row r="72" spans="19:19" x14ac:dyDescent="0.3">
      <c r="S72" s="13">
        <f t="shared" si="2"/>
        <v>0</v>
      </c>
    </row>
    <row r="73" spans="19:19" x14ac:dyDescent="0.3">
      <c r="S73" s="13">
        <f t="shared" si="2"/>
        <v>0</v>
      </c>
    </row>
    <row r="74" spans="19:19" x14ac:dyDescent="0.3">
      <c r="S74" s="13">
        <f t="shared" si="2"/>
        <v>0</v>
      </c>
    </row>
    <row r="75" spans="19:19" x14ac:dyDescent="0.3">
      <c r="S75" s="13">
        <f t="shared" si="2"/>
        <v>0</v>
      </c>
    </row>
    <row r="76" spans="19:19" x14ac:dyDescent="0.3">
      <c r="S76" s="13">
        <f t="shared" si="2"/>
        <v>0</v>
      </c>
    </row>
    <row r="77" spans="19:19" x14ac:dyDescent="0.3">
      <c r="S77" s="13">
        <f t="shared" si="2"/>
        <v>0</v>
      </c>
    </row>
    <row r="78" spans="19:19" x14ac:dyDescent="0.3">
      <c r="S78" s="13">
        <f t="shared" si="2"/>
        <v>0</v>
      </c>
    </row>
    <row r="79" spans="19:19" x14ac:dyDescent="0.3">
      <c r="S79" s="13">
        <f t="shared" si="2"/>
        <v>0</v>
      </c>
    </row>
    <row r="80" spans="19:19" x14ac:dyDescent="0.3">
      <c r="S80" s="13">
        <f t="shared" si="2"/>
        <v>0</v>
      </c>
    </row>
    <row r="81" spans="19:19" x14ac:dyDescent="0.3">
      <c r="S81" s="13">
        <f t="shared" si="2"/>
        <v>0</v>
      </c>
    </row>
    <row r="82" spans="19:19" x14ac:dyDescent="0.3">
      <c r="S82" s="13">
        <f t="shared" si="2"/>
        <v>0</v>
      </c>
    </row>
    <row r="83" spans="19:19" x14ac:dyDescent="0.3">
      <c r="S83" s="13">
        <f t="shared" si="2"/>
        <v>0</v>
      </c>
    </row>
    <row r="84" spans="19:19" x14ac:dyDescent="0.3">
      <c r="S84" s="13">
        <f t="shared" si="2"/>
        <v>0</v>
      </c>
    </row>
    <row r="85" spans="19:19" x14ac:dyDescent="0.3">
      <c r="S85" s="13">
        <f t="shared" si="2"/>
        <v>0</v>
      </c>
    </row>
    <row r="86" spans="19:19" x14ac:dyDescent="0.3">
      <c r="S86" s="13">
        <f t="shared" si="2"/>
        <v>0</v>
      </c>
    </row>
    <row r="87" spans="19:19" x14ac:dyDescent="0.3">
      <c r="S87" s="13">
        <f t="shared" si="2"/>
        <v>0</v>
      </c>
    </row>
    <row r="88" spans="19:19" x14ac:dyDescent="0.3">
      <c r="S88" s="13">
        <f t="shared" si="2"/>
        <v>0</v>
      </c>
    </row>
    <row r="89" spans="19:19" x14ac:dyDescent="0.3">
      <c r="S89" s="13">
        <f t="shared" si="2"/>
        <v>0</v>
      </c>
    </row>
    <row r="90" spans="19:19" x14ac:dyDescent="0.3">
      <c r="S90" s="13">
        <f t="shared" si="2"/>
        <v>0</v>
      </c>
    </row>
    <row r="91" spans="19:19" x14ac:dyDescent="0.3">
      <c r="S91" s="13">
        <f t="shared" si="2"/>
        <v>0</v>
      </c>
    </row>
    <row r="92" spans="19:19" x14ac:dyDescent="0.3">
      <c r="S92" s="13">
        <f t="shared" si="2"/>
        <v>0</v>
      </c>
    </row>
    <row r="93" spans="19:19" x14ac:dyDescent="0.3">
      <c r="S93" s="13">
        <f t="shared" si="2"/>
        <v>0</v>
      </c>
    </row>
    <row r="94" spans="19:19" x14ac:dyDescent="0.3">
      <c r="S94" s="13">
        <f t="shared" si="2"/>
        <v>0</v>
      </c>
    </row>
    <row r="95" spans="19:19" x14ac:dyDescent="0.3">
      <c r="S95" s="13">
        <f t="shared" si="2"/>
        <v>0</v>
      </c>
    </row>
    <row r="96" spans="19:19" x14ac:dyDescent="0.3">
      <c r="S96" s="13">
        <f t="shared" si="2"/>
        <v>0</v>
      </c>
    </row>
    <row r="97" spans="19:19" x14ac:dyDescent="0.3">
      <c r="S97" s="13">
        <f t="shared" si="2"/>
        <v>0</v>
      </c>
    </row>
    <row r="98" spans="19:19" x14ac:dyDescent="0.3">
      <c r="S98" s="13">
        <f t="shared" si="2"/>
        <v>0</v>
      </c>
    </row>
    <row r="99" spans="19:19" x14ac:dyDescent="0.3">
      <c r="S99" s="13">
        <f t="shared" si="2"/>
        <v>0</v>
      </c>
    </row>
    <row r="100" spans="19:19" x14ac:dyDescent="0.3">
      <c r="S100" s="13">
        <f t="shared" si="2"/>
        <v>0</v>
      </c>
    </row>
    <row r="101" spans="19:19" x14ac:dyDescent="0.3">
      <c r="S101" s="13">
        <f t="shared" si="2"/>
        <v>0</v>
      </c>
    </row>
    <row r="102" spans="19:19" x14ac:dyDescent="0.3">
      <c r="S102" s="13">
        <f t="shared" si="2"/>
        <v>0</v>
      </c>
    </row>
    <row r="103" spans="19:19" x14ac:dyDescent="0.3">
      <c r="S103" s="13">
        <f t="shared" si="2"/>
        <v>0</v>
      </c>
    </row>
    <row r="104" spans="19:19" x14ac:dyDescent="0.3">
      <c r="S104" s="13">
        <f t="shared" si="2"/>
        <v>0</v>
      </c>
    </row>
    <row r="105" spans="19:19" x14ac:dyDescent="0.3">
      <c r="S105" s="13">
        <f t="shared" si="2"/>
        <v>0</v>
      </c>
    </row>
    <row r="106" spans="19:19" x14ac:dyDescent="0.3">
      <c r="S106" s="13">
        <f t="shared" si="2"/>
        <v>0</v>
      </c>
    </row>
    <row r="107" spans="19:19" x14ac:dyDescent="0.3">
      <c r="S107" s="13">
        <f t="shared" si="2"/>
        <v>0</v>
      </c>
    </row>
    <row r="108" spans="19:19" x14ac:dyDescent="0.3">
      <c r="S108" s="13">
        <f t="shared" si="2"/>
        <v>0</v>
      </c>
    </row>
    <row r="109" spans="19:19" x14ac:dyDescent="0.3">
      <c r="S109" s="13">
        <f t="shared" si="2"/>
        <v>0</v>
      </c>
    </row>
    <row r="110" spans="19:19" x14ac:dyDescent="0.3">
      <c r="S110" s="13">
        <f t="shared" si="2"/>
        <v>0</v>
      </c>
    </row>
    <row r="111" spans="19:19" x14ac:dyDescent="0.3">
      <c r="S111" s="13">
        <f t="shared" si="2"/>
        <v>0</v>
      </c>
    </row>
    <row r="112" spans="19:19" x14ac:dyDescent="0.3">
      <c r="S112" s="13">
        <f t="shared" si="2"/>
        <v>0</v>
      </c>
    </row>
    <row r="113" spans="19:19" x14ac:dyDescent="0.3">
      <c r="S113" s="13">
        <f t="shared" si="2"/>
        <v>0</v>
      </c>
    </row>
    <row r="114" spans="19:19" x14ac:dyDescent="0.3">
      <c r="S114" s="13">
        <f t="shared" si="2"/>
        <v>0</v>
      </c>
    </row>
    <row r="115" spans="19:19" x14ac:dyDescent="0.3">
      <c r="S115" s="13">
        <f t="shared" si="2"/>
        <v>0</v>
      </c>
    </row>
    <row r="116" spans="19:19" x14ac:dyDescent="0.3">
      <c r="S116" s="13">
        <f t="shared" si="2"/>
        <v>0</v>
      </c>
    </row>
    <row r="117" spans="19:19" x14ac:dyDescent="0.3">
      <c r="S117" s="13">
        <f t="shared" si="2"/>
        <v>0</v>
      </c>
    </row>
    <row r="118" spans="19:19" x14ac:dyDescent="0.3">
      <c r="S118" s="13">
        <f t="shared" si="2"/>
        <v>0</v>
      </c>
    </row>
    <row r="119" spans="19:19" x14ac:dyDescent="0.3">
      <c r="S119" s="13">
        <f t="shared" si="2"/>
        <v>0</v>
      </c>
    </row>
    <row r="120" spans="19:19" x14ac:dyDescent="0.3">
      <c r="S120" s="13">
        <f t="shared" si="2"/>
        <v>0</v>
      </c>
    </row>
    <row r="121" spans="19:19" x14ac:dyDescent="0.3">
      <c r="S121" s="13">
        <f t="shared" si="2"/>
        <v>0</v>
      </c>
    </row>
    <row r="122" spans="19:19" x14ac:dyDescent="0.3">
      <c r="S122" s="13">
        <f t="shared" si="2"/>
        <v>0</v>
      </c>
    </row>
    <row r="123" spans="19:19" x14ac:dyDescent="0.3">
      <c r="S123" s="13">
        <f t="shared" si="2"/>
        <v>0</v>
      </c>
    </row>
    <row r="124" spans="19:19" x14ac:dyDescent="0.3">
      <c r="S124" s="13">
        <f t="shared" si="2"/>
        <v>0</v>
      </c>
    </row>
    <row r="125" spans="19:19" x14ac:dyDescent="0.3">
      <c r="S125" s="13">
        <f t="shared" si="2"/>
        <v>0</v>
      </c>
    </row>
    <row r="126" spans="19:19" x14ac:dyDescent="0.3">
      <c r="S126" s="13">
        <f t="shared" si="2"/>
        <v>0</v>
      </c>
    </row>
    <row r="127" spans="19:19" x14ac:dyDescent="0.3">
      <c r="S127" s="13">
        <f t="shared" si="2"/>
        <v>0</v>
      </c>
    </row>
    <row r="128" spans="19:19" x14ac:dyDescent="0.3">
      <c r="S128" s="13">
        <f t="shared" si="2"/>
        <v>0</v>
      </c>
    </row>
    <row r="129" spans="19:19" x14ac:dyDescent="0.3">
      <c r="S129" s="13">
        <f t="shared" si="2"/>
        <v>0</v>
      </c>
    </row>
    <row r="130" spans="19:19" x14ac:dyDescent="0.3">
      <c r="S130" s="13">
        <f t="shared" si="2"/>
        <v>0</v>
      </c>
    </row>
    <row r="131" spans="19:19" x14ac:dyDescent="0.3">
      <c r="S131" s="13">
        <f t="shared" si="2"/>
        <v>0</v>
      </c>
    </row>
    <row r="132" spans="19:19" x14ac:dyDescent="0.3">
      <c r="S132" s="13">
        <f t="shared" si="2"/>
        <v>0</v>
      </c>
    </row>
    <row r="133" spans="19:19" x14ac:dyDescent="0.3">
      <c r="S133" s="13">
        <f t="shared" ref="S133:S196" si="3">SUM(N133:R133)</f>
        <v>0</v>
      </c>
    </row>
    <row r="134" spans="19:19" x14ac:dyDescent="0.3">
      <c r="S134" s="13">
        <f t="shared" si="3"/>
        <v>0</v>
      </c>
    </row>
    <row r="135" spans="19:19" x14ac:dyDescent="0.3">
      <c r="S135" s="13">
        <f t="shared" si="3"/>
        <v>0</v>
      </c>
    </row>
    <row r="136" spans="19:19" x14ac:dyDescent="0.3">
      <c r="S136" s="13">
        <f t="shared" si="3"/>
        <v>0</v>
      </c>
    </row>
    <row r="137" spans="19:19" x14ac:dyDescent="0.3">
      <c r="S137" s="13">
        <f t="shared" si="3"/>
        <v>0</v>
      </c>
    </row>
    <row r="138" spans="19:19" x14ac:dyDescent="0.3">
      <c r="S138" s="13">
        <f t="shared" si="3"/>
        <v>0</v>
      </c>
    </row>
    <row r="139" spans="19:19" x14ac:dyDescent="0.3">
      <c r="S139" s="13">
        <f t="shared" si="3"/>
        <v>0</v>
      </c>
    </row>
    <row r="140" spans="19:19" x14ac:dyDescent="0.3">
      <c r="S140" s="13">
        <f t="shared" si="3"/>
        <v>0</v>
      </c>
    </row>
    <row r="141" spans="19:19" x14ac:dyDescent="0.3">
      <c r="S141" s="13">
        <f t="shared" si="3"/>
        <v>0</v>
      </c>
    </row>
    <row r="142" spans="19:19" x14ac:dyDescent="0.3">
      <c r="S142" s="13">
        <f t="shared" si="3"/>
        <v>0</v>
      </c>
    </row>
    <row r="143" spans="19:19" x14ac:dyDescent="0.3">
      <c r="S143" s="13">
        <f t="shared" si="3"/>
        <v>0</v>
      </c>
    </row>
    <row r="144" spans="19:19" x14ac:dyDescent="0.3">
      <c r="S144" s="13">
        <f t="shared" si="3"/>
        <v>0</v>
      </c>
    </row>
    <row r="145" spans="19:19" x14ac:dyDescent="0.3">
      <c r="S145" s="13">
        <f t="shared" si="3"/>
        <v>0</v>
      </c>
    </row>
    <row r="146" spans="19:19" x14ac:dyDescent="0.3">
      <c r="S146" s="13">
        <f t="shared" si="3"/>
        <v>0</v>
      </c>
    </row>
    <row r="147" spans="19:19" x14ac:dyDescent="0.3">
      <c r="S147" s="13">
        <f t="shared" si="3"/>
        <v>0</v>
      </c>
    </row>
    <row r="148" spans="19:19" x14ac:dyDescent="0.3">
      <c r="S148" s="13">
        <f t="shared" si="3"/>
        <v>0</v>
      </c>
    </row>
    <row r="149" spans="19:19" x14ac:dyDescent="0.3">
      <c r="S149" s="13">
        <f t="shared" si="3"/>
        <v>0</v>
      </c>
    </row>
    <row r="150" spans="19:19" x14ac:dyDescent="0.3">
      <c r="S150" s="13">
        <f t="shared" si="3"/>
        <v>0</v>
      </c>
    </row>
    <row r="151" spans="19:19" x14ac:dyDescent="0.3">
      <c r="S151" s="13">
        <f t="shared" si="3"/>
        <v>0</v>
      </c>
    </row>
    <row r="152" spans="19:19" x14ac:dyDescent="0.3">
      <c r="S152" s="13">
        <f t="shared" si="3"/>
        <v>0</v>
      </c>
    </row>
    <row r="153" spans="19:19" x14ac:dyDescent="0.3">
      <c r="S153" s="13">
        <f t="shared" si="3"/>
        <v>0</v>
      </c>
    </row>
    <row r="154" spans="19:19" x14ac:dyDescent="0.3">
      <c r="S154" s="13">
        <f t="shared" si="3"/>
        <v>0</v>
      </c>
    </row>
    <row r="155" spans="19:19" x14ac:dyDescent="0.3">
      <c r="S155" s="13">
        <f t="shared" si="3"/>
        <v>0</v>
      </c>
    </row>
    <row r="156" spans="19:19" x14ac:dyDescent="0.3">
      <c r="S156" s="13">
        <f t="shared" si="3"/>
        <v>0</v>
      </c>
    </row>
    <row r="157" spans="19:19" x14ac:dyDescent="0.3">
      <c r="S157" s="13">
        <f t="shared" si="3"/>
        <v>0</v>
      </c>
    </row>
    <row r="158" spans="19:19" x14ac:dyDescent="0.3">
      <c r="S158" s="13">
        <f t="shared" si="3"/>
        <v>0</v>
      </c>
    </row>
    <row r="159" spans="19:19" x14ac:dyDescent="0.3">
      <c r="S159" s="13">
        <f t="shared" si="3"/>
        <v>0</v>
      </c>
    </row>
    <row r="160" spans="19:19" x14ac:dyDescent="0.3">
      <c r="S160" s="13">
        <f t="shared" si="3"/>
        <v>0</v>
      </c>
    </row>
    <row r="161" spans="19:19" x14ac:dyDescent="0.3">
      <c r="S161" s="13">
        <f t="shared" si="3"/>
        <v>0</v>
      </c>
    </row>
    <row r="162" spans="19:19" x14ac:dyDescent="0.3">
      <c r="S162" s="13">
        <f t="shared" si="3"/>
        <v>0</v>
      </c>
    </row>
    <row r="163" spans="19:19" x14ac:dyDescent="0.3">
      <c r="S163" s="13">
        <f t="shared" si="3"/>
        <v>0</v>
      </c>
    </row>
    <row r="164" spans="19:19" x14ac:dyDescent="0.3">
      <c r="S164" s="13">
        <f t="shared" si="3"/>
        <v>0</v>
      </c>
    </row>
    <row r="165" spans="19:19" x14ac:dyDescent="0.3">
      <c r="S165" s="13">
        <f t="shared" si="3"/>
        <v>0</v>
      </c>
    </row>
    <row r="166" spans="19:19" x14ac:dyDescent="0.3">
      <c r="S166" s="13">
        <f t="shared" si="3"/>
        <v>0</v>
      </c>
    </row>
    <row r="167" spans="19:19" x14ac:dyDescent="0.3">
      <c r="S167" s="13">
        <f t="shared" si="3"/>
        <v>0</v>
      </c>
    </row>
    <row r="168" spans="19:19" x14ac:dyDescent="0.3">
      <c r="S168" s="13">
        <f t="shared" si="3"/>
        <v>0</v>
      </c>
    </row>
    <row r="169" spans="19:19" x14ac:dyDescent="0.3">
      <c r="S169" s="13">
        <f t="shared" si="3"/>
        <v>0</v>
      </c>
    </row>
    <row r="170" spans="19:19" x14ac:dyDescent="0.3">
      <c r="S170" s="13">
        <f t="shared" si="3"/>
        <v>0</v>
      </c>
    </row>
    <row r="171" spans="19:19" x14ac:dyDescent="0.3">
      <c r="S171" s="13">
        <f t="shared" si="3"/>
        <v>0</v>
      </c>
    </row>
    <row r="172" spans="19:19" x14ac:dyDescent="0.3">
      <c r="S172" s="13">
        <f t="shared" si="3"/>
        <v>0</v>
      </c>
    </row>
    <row r="173" spans="19:19" x14ac:dyDescent="0.3">
      <c r="S173" s="13">
        <f t="shared" si="3"/>
        <v>0</v>
      </c>
    </row>
    <row r="174" spans="19:19" x14ac:dyDescent="0.3">
      <c r="S174" s="13">
        <f t="shared" si="3"/>
        <v>0</v>
      </c>
    </row>
    <row r="175" spans="19:19" x14ac:dyDescent="0.3">
      <c r="S175" s="13">
        <f t="shared" si="3"/>
        <v>0</v>
      </c>
    </row>
    <row r="176" spans="19:19" x14ac:dyDescent="0.3">
      <c r="S176" s="13">
        <f t="shared" si="3"/>
        <v>0</v>
      </c>
    </row>
    <row r="177" spans="19:19" x14ac:dyDescent="0.3">
      <c r="S177" s="13">
        <f t="shared" si="3"/>
        <v>0</v>
      </c>
    </row>
    <row r="178" spans="19:19" x14ac:dyDescent="0.3">
      <c r="S178" s="13">
        <f t="shared" si="3"/>
        <v>0</v>
      </c>
    </row>
    <row r="179" spans="19:19" x14ac:dyDescent="0.3">
      <c r="S179" s="13">
        <f t="shared" si="3"/>
        <v>0</v>
      </c>
    </row>
    <row r="180" spans="19:19" x14ac:dyDescent="0.3">
      <c r="S180" s="13">
        <f t="shared" si="3"/>
        <v>0</v>
      </c>
    </row>
    <row r="181" spans="19:19" x14ac:dyDescent="0.3">
      <c r="S181" s="13">
        <f t="shared" si="3"/>
        <v>0</v>
      </c>
    </row>
    <row r="182" spans="19:19" x14ac:dyDescent="0.3">
      <c r="S182" s="13">
        <f t="shared" si="3"/>
        <v>0</v>
      </c>
    </row>
    <row r="183" spans="19:19" x14ac:dyDescent="0.3">
      <c r="S183" s="13">
        <f t="shared" si="3"/>
        <v>0</v>
      </c>
    </row>
    <row r="184" spans="19:19" x14ac:dyDescent="0.3">
      <c r="S184" s="13">
        <f t="shared" si="3"/>
        <v>0</v>
      </c>
    </row>
    <row r="185" spans="19:19" x14ac:dyDescent="0.3">
      <c r="S185" s="13">
        <f t="shared" si="3"/>
        <v>0</v>
      </c>
    </row>
    <row r="186" spans="19:19" x14ac:dyDescent="0.3">
      <c r="S186" s="13">
        <f t="shared" si="3"/>
        <v>0</v>
      </c>
    </row>
    <row r="187" spans="19:19" x14ac:dyDescent="0.3">
      <c r="S187" s="13">
        <f t="shared" si="3"/>
        <v>0</v>
      </c>
    </row>
    <row r="188" spans="19:19" x14ac:dyDescent="0.3">
      <c r="S188" s="13">
        <f t="shared" si="3"/>
        <v>0</v>
      </c>
    </row>
    <row r="189" spans="19:19" x14ac:dyDescent="0.3">
      <c r="S189" s="13">
        <f t="shared" si="3"/>
        <v>0</v>
      </c>
    </row>
    <row r="190" spans="19:19" x14ac:dyDescent="0.3">
      <c r="S190" s="13">
        <f t="shared" si="3"/>
        <v>0</v>
      </c>
    </row>
    <row r="191" spans="19:19" x14ac:dyDescent="0.3">
      <c r="S191" s="13">
        <f t="shared" si="3"/>
        <v>0</v>
      </c>
    </row>
    <row r="192" spans="19:19" x14ac:dyDescent="0.3">
      <c r="S192" s="13">
        <f t="shared" si="3"/>
        <v>0</v>
      </c>
    </row>
    <row r="193" spans="19:19" x14ac:dyDescent="0.3">
      <c r="S193" s="13">
        <f t="shared" si="3"/>
        <v>0</v>
      </c>
    </row>
    <row r="194" spans="19:19" x14ac:dyDescent="0.3">
      <c r="S194" s="13">
        <f t="shared" si="3"/>
        <v>0</v>
      </c>
    </row>
    <row r="195" spans="19:19" x14ac:dyDescent="0.3">
      <c r="S195" s="13">
        <f t="shared" si="3"/>
        <v>0</v>
      </c>
    </row>
    <row r="196" spans="19:19" x14ac:dyDescent="0.3">
      <c r="S196" s="13">
        <f t="shared" si="3"/>
        <v>0</v>
      </c>
    </row>
    <row r="197" spans="19:19" x14ac:dyDescent="0.3">
      <c r="S197" s="13">
        <f t="shared" ref="S197:S260" si="4">SUM(N197:R197)</f>
        <v>0</v>
      </c>
    </row>
    <row r="198" spans="19:19" x14ac:dyDescent="0.3">
      <c r="S198" s="13">
        <f t="shared" si="4"/>
        <v>0</v>
      </c>
    </row>
    <row r="199" spans="19:19" x14ac:dyDescent="0.3">
      <c r="S199" s="13">
        <f t="shared" si="4"/>
        <v>0</v>
      </c>
    </row>
    <row r="200" spans="19:19" x14ac:dyDescent="0.3">
      <c r="S200" s="13">
        <f t="shared" si="4"/>
        <v>0</v>
      </c>
    </row>
    <row r="201" spans="19:19" x14ac:dyDescent="0.3">
      <c r="S201" s="13">
        <f t="shared" si="4"/>
        <v>0</v>
      </c>
    </row>
    <row r="202" spans="19:19" x14ac:dyDescent="0.3">
      <c r="S202" s="13">
        <f t="shared" si="4"/>
        <v>0</v>
      </c>
    </row>
    <row r="203" spans="19:19" x14ac:dyDescent="0.3">
      <c r="S203" s="13">
        <f t="shared" si="4"/>
        <v>0</v>
      </c>
    </row>
    <row r="204" spans="19:19" x14ac:dyDescent="0.3">
      <c r="S204" s="13">
        <f t="shared" si="4"/>
        <v>0</v>
      </c>
    </row>
    <row r="205" spans="19:19" x14ac:dyDescent="0.3">
      <c r="S205" s="13">
        <f t="shared" si="4"/>
        <v>0</v>
      </c>
    </row>
    <row r="206" spans="19:19" x14ac:dyDescent="0.3">
      <c r="S206" s="13">
        <f t="shared" si="4"/>
        <v>0</v>
      </c>
    </row>
    <row r="207" spans="19:19" x14ac:dyDescent="0.3">
      <c r="S207" s="13">
        <f t="shared" si="4"/>
        <v>0</v>
      </c>
    </row>
    <row r="208" spans="19:19" x14ac:dyDescent="0.3">
      <c r="S208" s="13">
        <f t="shared" si="4"/>
        <v>0</v>
      </c>
    </row>
    <row r="209" spans="19:19" x14ac:dyDescent="0.3">
      <c r="S209" s="13">
        <f t="shared" si="4"/>
        <v>0</v>
      </c>
    </row>
    <row r="210" spans="19:19" x14ac:dyDescent="0.3">
      <c r="S210" s="13">
        <f t="shared" si="4"/>
        <v>0</v>
      </c>
    </row>
    <row r="211" spans="19:19" x14ac:dyDescent="0.3">
      <c r="S211" s="13">
        <f t="shared" si="4"/>
        <v>0</v>
      </c>
    </row>
    <row r="212" spans="19:19" x14ac:dyDescent="0.3">
      <c r="S212" s="13">
        <f t="shared" si="4"/>
        <v>0</v>
      </c>
    </row>
    <row r="213" spans="19:19" x14ac:dyDescent="0.3">
      <c r="S213" s="13">
        <f t="shared" si="4"/>
        <v>0</v>
      </c>
    </row>
    <row r="214" spans="19:19" x14ac:dyDescent="0.3">
      <c r="S214" s="13">
        <f t="shared" si="4"/>
        <v>0</v>
      </c>
    </row>
    <row r="215" spans="19:19" x14ac:dyDescent="0.3">
      <c r="S215" s="13">
        <f t="shared" si="4"/>
        <v>0</v>
      </c>
    </row>
    <row r="216" spans="19:19" x14ac:dyDescent="0.3">
      <c r="S216" s="13">
        <f t="shared" si="4"/>
        <v>0</v>
      </c>
    </row>
    <row r="217" spans="19:19" x14ac:dyDescent="0.3">
      <c r="S217" s="13">
        <f t="shared" si="4"/>
        <v>0</v>
      </c>
    </row>
    <row r="218" spans="19:19" x14ac:dyDescent="0.3">
      <c r="S218" s="13">
        <f t="shared" si="4"/>
        <v>0</v>
      </c>
    </row>
    <row r="219" spans="19:19" x14ac:dyDescent="0.3">
      <c r="S219" s="13">
        <f t="shared" si="4"/>
        <v>0</v>
      </c>
    </row>
    <row r="220" spans="19:19" x14ac:dyDescent="0.3">
      <c r="S220" s="13">
        <f t="shared" si="4"/>
        <v>0</v>
      </c>
    </row>
    <row r="221" spans="19:19" x14ac:dyDescent="0.3">
      <c r="S221" s="13">
        <f t="shared" si="4"/>
        <v>0</v>
      </c>
    </row>
    <row r="222" spans="19:19" x14ac:dyDescent="0.3">
      <c r="S222" s="13">
        <f t="shared" si="4"/>
        <v>0</v>
      </c>
    </row>
    <row r="223" spans="19:19" x14ac:dyDescent="0.3">
      <c r="S223" s="13">
        <f t="shared" si="4"/>
        <v>0</v>
      </c>
    </row>
    <row r="224" spans="19:19" x14ac:dyDescent="0.3">
      <c r="S224" s="13">
        <f t="shared" si="4"/>
        <v>0</v>
      </c>
    </row>
    <row r="225" spans="19:19" x14ac:dyDescent="0.3">
      <c r="S225" s="13">
        <f t="shared" si="4"/>
        <v>0</v>
      </c>
    </row>
    <row r="226" spans="19:19" x14ac:dyDescent="0.3">
      <c r="S226" s="13">
        <f t="shared" si="4"/>
        <v>0</v>
      </c>
    </row>
    <row r="227" spans="19:19" x14ac:dyDescent="0.3">
      <c r="S227" s="13">
        <f t="shared" si="4"/>
        <v>0</v>
      </c>
    </row>
    <row r="228" spans="19:19" x14ac:dyDescent="0.3">
      <c r="S228" s="13">
        <f t="shared" si="4"/>
        <v>0</v>
      </c>
    </row>
    <row r="229" spans="19:19" x14ac:dyDescent="0.3">
      <c r="S229" s="13">
        <f t="shared" si="4"/>
        <v>0</v>
      </c>
    </row>
    <row r="230" spans="19:19" x14ac:dyDescent="0.3">
      <c r="S230" s="13">
        <f t="shared" si="4"/>
        <v>0</v>
      </c>
    </row>
    <row r="231" spans="19:19" x14ac:dyDescent="0.3">
      <c r="S231" s="13">
        <f t="shared" si="4"/>
        <v>0</v>
      </c>
    </row>
    <row r="232" spans="19:19" x14ac:dyDescent="0.3">
      <c r="S232" s="13">
        <f t="shared" si="4"/>
        <v>0</v>
      </c>
    </row>
    <row r="233" spans="19:19" x14ac:dyDescent="0.3">
      <c r="S233" s="13">
        <f t="shared" si="4"/>
        <v>0</v>
      </c>
    </row>
    <row r="234" spans="19:19" x14ac:dyDescent="0.3">
      <c r="S234" s="13">
        <f t="shared" si="4"/>
        <v>0</v>
      </c>
    </row>
    <row r="235" spans="19:19" x14ac:dyDescent="0.3">
      <c r="S235" s="13">
        <f t="shared" si="4"/>
        <v>0</v>
      </c>
    </row>
    <row r="236" spans="19:19" x14ac:dyDescent="0.3">
      <c r="S236" s="13">
        <f t="shared" si="4"/>
        <v>0</v>
      </c>
    </row>
    <row r="237" spans="19:19" x14ac:dyDescent="0.3">
      <c r="S237" s="13">
        <f t="shared" si="4"/>
        <v>0</v>
      </c>
    </row>
    <row r="238" spans="19:19" x14ac:dyDescent="0.3">
      <c r="S238" s="13">
        <f t="shared" si="4"/>
        <v>0</v>
      </c>
    </row>
    <row r="239" spans="19:19" x14ac:dyDescent="0.3">
      <c r="S239" s="13">
        <f t="shared" si="4"/>
        <v>0</v>
      </c>
    </row>
    <row r="240" spans="19:19" x14ac:dyDescent="0.3">
      <c r="S240" s="13">
        <f t="shared" si="4"/>
        <v>0</v>
      </c>
    </row>
    <row r="241" spans="19:19" x14ac:dyDescent="0.3">
      <c r="S241" s="13">
        <f t="shared" si="4"/>
        <v>0</v>
      </c>
    </row>
    <row r="242" spans="19:19" x14ac:dyDescent="0.3">
      <c r="S242" s="13">
        <f t="shared" si="4"/>
        <v>0</v>
      </c>
    </row>
    <row r="243" spans="19:19" x14ac:dyDescent="0.3">
      <c r="S243" s="13">
        <f t="shared" si="4"/>
        <v>0</v>
      </c>
    </row>
    <row r="244" spans="19:19" x14ac:dyDescent="0.3">
      <c r="S244" s="13">
        <f t="shared" si="4"/>
        <v>0</v>
      </c>
    </row>
    <row r="245" spans="19:19" x14ac:dyDescent="0.3">
      <c r="S245" s="13">
        <f t="shared" si="4"/>
        <v>0</v>
      </c>
    </row>
    <row r="246" spans="19:19" x14ac:dyDescent="0.3">
      <c r="S246" s="13">
        <f t="shared" si="4"/>
        <v>0</v>
      </c>
    </row>
    <row r="247" spans="19:19" x14ac:dyDescent="0.3">
      <c r="S247" s="13">
        <f t="shared" si="4"/>
        <v>0</v>
      </c>
    </row>
    <row r="248" spans="19:19" x14ac:dyDescent="0.3">
      <c r="S248" s="13">
        <f t="shared" si="4"/>
        <v>0</v>
      </c>
    </row>
    <row r="249" spans="19:19" x14ac:dyDescent="0.3">
      <c r="S249" s="13">
        <f t="shared" si="4"/>
        <v>0</v>
      </c>
    </row>
    <row r="250" spans="19:19" x14ac:dyDescent="0.3">
      <c r="S250" s="13">
        <f t="shared" si="4"/>
        <v>0</v>
      </c>
    </row>
    <row r="251" spans="19:19" x14ac:dyDescent="0.3">
      <c r="S251" s="13">
        <f t="shared" si="4"/>
        <v>0</v>
      </c>
    </row>
    <row r="252" spans="19:19" x14ac:dyDescent="0.3">
      <c r="S252" s="13">
        <f t="shared" si="4"/>
        <v>0</v>
      </c>
    </row>
    <row r="253" spans="19:19" x14ac:dyDescent="0.3">
      <c r="S253" s="13">
        <f t="shared" si="4"/>
        <v>0</v>
      </c>
    </row>
    <row r="254" spans="19:19" x14ac:dyDescent="0.3">
      <c r="S254" s="13">
        <f t="shared" si="4"/>
        <v>0</v>
      </c>
    </row>
    <row r="255" spans="19:19" x14ac:dyDescent="0.3">
      <c r="S255" s="13">
        <f t="shared" si="4"/>
        <v>0</v>
      </c>
    </row>
    <row r="256" spans="19:19" x14ac:dyDescent="0.3">
      <c r="S256" s="13">
        <f t="shared" si="4"/>
        <v>0</v>
      </c>
    </row>
    <row r="257" spans="19:19" x14ac:dyDescent="0.3">
      <c r="S257" s="13">
        <f t="shared" si="4"/>
        <v>0</v>
      </c>
    </row>
    <row r="258" spans="19:19" x14ac:dyDescent="0.3">
      <c r="S258" s="13">
        <f t="shared" si="4"/>
        <v>0</v>
      </c>
    </row>
    <row r="259" spans="19:19" x14ac:dyDescent="0.3">
      <c r="S259" s="13">
        <f t="shared" si="4"/>
        <v>0</v>
      </c>
    </row>
    <row r="260" spans="19:19" x14ac:dyDescent="0.3">
      <c r="S260" s="13">
        <f t="shared" si="4"/>
        <v>0</v>
      </c>
    </row>
    <row r="261" spans="19:19" x14ac:dyDescent="0.3">
      <c r="S261" s="13">
        <f t="shared" ref="S261:S324" si="5">SUM(N261:R261)</f>
        <v>0</v>
      </c>
    </row>
    <row r="262" spans="19:19" x14ac:dyDescent="0.3">
      <c r="S262" s="13">
        <f t="shared" si="5"/>
        <v>0</v>
      </c>
    </row>
    <row r="263" spans="19:19" x14ac:dyDescent="0.3">
      <c r="S263" s="13">
        <f t="shared" si="5"/>
        <v>0</v>
      </c>
    </row>
    <row r="264" spans="19:19" x14ac:dyDescent="0.3">
      <c r="S264" s="13">
        <f t="shared" si="5"/>
        <v>0</v>
      </c>
    </row>
    <row r="265" spans="19:19" x14ac:dyDescent="0.3">
      <c r="S265" s="13">
        <f t="shared" si="5"/>
        <v>0</v>
      </c>
    </row>
    <row r="266" spans="19:19" x14ac:dyDescent="0.3">
      <c r="S266" s="13">
        <f t="shared" si="5"/>
        <v>0</v>
      </c>
    </row>
    <row r="267" spans="19:19" x14ac:dyDescent="0.3">
      <c r="S267" s="13">
        <f t="shared" si="5"/>
        <v>0</v>
      </c>
    </row>
    <row r="268" spans="19:19" x14ac:dyDescent="0.3">
      <c r="S268" s="13">
        <f t="shared" si="5"/>
        <v>0</v>
      </c>
    </row>
    <row r="269" spans="19:19" x14ac:dyDescent="0.3">
      <c r="S269" s="13">
        <f t="shared" si="5"/>
        <v>0</v>
      </c>
    </row>
    <row r="270" spans="19:19" x14ac:dyDescent="0.3">
      <c r="S270" s="13">
        <f t="shared" si="5"/>
        <v>0</v>
      </c>
    </row>
    <row r="271" spans="19:19" x14ac:dyDescent="0.3">
      <c r="S271" s="13">
        <f t="shared" si="5"/>
        <v>0</v>
      </c>
    </row>
    <row r="272" spans="19:19" x14ac:dyDescent="0.3">
      <c r="S272" s="13">
        <f t="shared" si="5"/>
        <v>0</v>
      </c>
    </row>
    <row r="273" spans="19:19" x14ac:dyDescent="0.3">
      <c r="S273" s="13">
        <f t="shared" si="5"/>
        <v>0</v>
      </c>
    </row>
    <row r="274" spans="19:19" x14ac:dyDescent="0.3">
      <c r="S274" s="13">
        <f t="shared" si="5"/>
        <v>0</v>
      </c>
    </row>
    <row r="275" spans="19:19" x14ac:dyDescent="0.3">
      <c r="S275" s="13">
        <f t="shared" si="5"/>
        <v>0</v>
      </c>
    </row>
    <row r="276" spans="19:19" x14ac:dyDescent="0.3">
      <c r="S276" s="13">
        <f t="shared" si="5"/>
        <v>0</v>
      </c>
    </row>
    <row r="277" spans="19:19" x14ac:dyDescent="0.3">
      <c r="S277" s="13">
        <f t="shared" si="5"/>
        <v>0</v>
      </c>
    </row>
    <row r="278" spans="19:19" x14ac:dyDescent="0.3">
      <c r="S278" s="13">
        <f t="shared" si="5"/>
        <v>0</v>
      </c>
    </row>
    <row r="279" spans="19:19" x14ac:dyDescent="0.3">
      <c r="S279" s="13">
        <f t="shared" si="5"/>
        <v>0</v>
      </c>
    </row>
    <row r="280" spans="19:19" x14ac:dyDescent="0.3">
      <c r="S280" s="13">
        <f t="shared" si="5"/>
        <v>0</v>
      </c>
    </row>
    <row r="281" spans="19:19" x14ac:dyDescent="0.3">
      <c r="S281" s="13">
        <f t="shared" si="5"/>
        <v>0</v>
      </c>
    </row>
    <row r="282" spans="19:19" x14ac:dyDescent="0.3">
      <c r="S282" s="13">
        <f t="shared" si="5"/>
        <v>0</v>
      </c>
    </row>
    <row r="283" spans="19:19" x14ac:dyDescent="0.3">
      <c r="S283" s="13">
        <f t="shared" si="5"/>
        <v>0</v>
      </c>
    </row>
    <row r="284" spans="19:19" x14ac:dyDescent="0.3">
      <c r="S284" s="13">
        <f t="shared" si="5"/>
        <v>0</v>
      </c>
    </row>
    <row r="285" spans="19:19" x14ac:dyDescent="0.3">
      <c r="S285" s="13">
        <f t="shared" si="5"/>
        <v>0</v>
      </c>
    </row>
    <row r="286" spans="19:19" x14ac:dyDescent="0.3">
      <c r="S286" s="13">
        <f t="shared" si="5"/>
        <v>0</v>
      </c>
    </row>
    <row r="287" spans="19:19" x14ac:dyDescent="0.3">
      <c r="S287" s="13">
        <f t="shared" si="5"/>
        <v>0</v>
      </c>
    </row>
    <row r="288" spans="19:19" x14ac:dyDescent="0.3">
      <c r="S288" s="13">
        <f t="shared" si="5"/>
        <v>0</v>
      </c>
    </row>
    <row r="289" spans="19:19" x14ac:dyDescent="0.3">
      <c r="S289" s="13">
        <f t="shared" si="5"/>
        <v>0</v>
      </c>
    </row>
    <row r="290" spans="19:19" x14ac:dyDescent="0.3">
      <c r="S290" s="13">
        <f t="shared" si="5"/>
        <v>0</v>
      </c>
    </row>
    <row r="291" spans="19:19" x14ac:dyDescent="0.3">
      <c r="S291" s="13">
        <f t="shared" si="5"/>
        <v>0</v>
      </c>
    </row>
    <row r="292" spans="19:19" x14ac:dyDescent="0.3">
      <c r="S292" s="13">
        <f t="shared" si="5"/>
        <v>0</v>
      </c>
    </row>
    <row r="293" spans="19:19" x14ac:dyDescent="0.3">
      <c r="S293" s="13">
        <f t="shared" si="5"/>
        <v>0</v>
      </c>
    </row>
    <row r="294" spans="19:19" x14ac:dyDescent="0.3">
      <c r="S294" s="13">
        <f t="shared" si="5"/>
        <v>0</v>
      </c>
    </row>
    <row r="295" spans="19:19" x14ac:dyDescent="0.3">
      <c r="S295" s="13">
        <f t="shared" si="5"/>
        <v>0</v>
      </c>
    </row>
    <row r="296" spans="19:19" x14ac:dyDescent="0.3">
      <c r="S296" s="13">
        <f t="shared" si="5"/>
        <v>0</v>
      </c>
    </row>
    <row r="297" spans="19:19" x14ac:dyDescent="0.3">
      <c r="S297" s="13">
        <f t="shared" si="5"/>
        <v>0</v>
      </c>
    </row>
    <row r="298" spans="19:19" x14ac:dyDescent="0.3">
      <c r="S298" s="13">
        <f t="shared" si="5"/>
        <v>0</v>
      </c>
    </row>
    <row r="299" spans="19:19" x14ac:dyDescent="0.3">
      <c r="S299" s="13">
        <f t="shared" si="5"/>
        <v>0</v>
      </c>
    </row>
    <row r="300" spans="19:19" x14ac:dyDescent="0.3">
      <c r="S300" s="13">
        <f t="shared" si="5"/>
        <v>0</v>
      </c>
    </row>
    <row r="301" spans="19:19" x14ac:dyDescent="0.3">
      <c r="S301" s="13">
        <f t="shared" si="5"/>
        <v>0</v>
      </c>
    </row>
    <row r="302" spans="19:19" x14ac:dyDescent="0.3">
      <c r="S302" s="13">
        <f t="shared" si="5"/>
        <v>0</v>
      </c>
    </row>
    <row r="303" spans="19:19" x14ac:dyDescent="0.3">
      <c r="S303" s="13">
        <f t="shared" si="5"/>
        <v>0</v>
      </c>
    </row>
    <row r="304" spans="19:19" x14ac:dyDescent="0.3">
      <c r="S304" s="13">
        <f t="shared" si="5"/>
        <v>0</v>
      </c>
    </row>
    <row r="305" spans="19:19" x14ac:dyDescent="0.3">
      <c r="S305" s="13">
        <f t="shared" si="5"/>
        <v>0</v>
      </c>
    </row>
    <row r="306" spans="19:19" x14ac:dyDescent="0.3">
      <c r="S306" s="13">
        <f t="shared" si="5"/>
        <v>0</v>
      </c>
    </row>
    <row r="307" spans="19:19" x14ac:dyDescent="0.3">
      <c r="S307" s="13">
        <f t="shared" si="5"/>
        <v>0</v>
      </c>
    </row>
    <row r="308" spans="19:19" x14ac:dyDescent="0.3">
      <c r="S308" s="13">
        <f t="shared" si="5"/>
        <v>0</v>
      </c>
    </row>
    <row r="309" spans="19:19" x14ac:dyDescent="0.3">
      <c r="S309" s="13">
        <f t="shared" si="5"/>
        <v>0</v>
      </c>
    </row>
    <row r="310" spans="19:19" x14ac:dyDescent="0.3">
      <c r="S310" s="13">
        <f t="shared" si="5"/>
        <v>0</v>
      </c>
    </row>
    <row r="311" spans="19:19" x14ac:dyDescent="0.3">
      <c r="S311" s="13">
        <f t="shared" si="5"/>
        <v>0</v>
      </c>
    </row>
    <row r="312" spans="19:19" x14ac:dyDescent="0.3">
      <c r="S312" s="13">
        <f t="shared" si="5"/>
        <v>0</v>
      </c>
    </row>
    <row r="313" spans="19:19" x14ac:dyDescent="0.3">
      <c r="S313" s="13">
        <f t="shared" si="5"/>
        <v>0</v>
      </c>
    </row>
    <row r="314" spans="19:19" x14ac:dyDescent="0.3">
      <c r="S314" s="13">
        <f t="shared" si="5"/>
        <v>0</v>
      </c>
    </row>
    <row r="315" spans="19:19" x14ac:dyDescent="0.3">
      <c r="S315" s="13">
        <f t="shared" si="5"/>
        <v>0</v>
      </c>
    </row>
    <row r="316" spans="19:19" x14ac:dyDescent="0.3">
      <c r="S316" s="13">
        <f t="shared" si="5"/>
        <v>0</v>
      </c>
    </row>
    <row r="317" spans="19:19" x14ac:dyDescent="0.3">
      <c r="S317" s="13">
        <f t="shared" si="5"/>
        <v>0</v>
      </c>
    </row>
    <row r="318" spans="19:19" x14ac:dyDescent="0.3">
      <c r="S318" s="13">
        <f t="shared" si="5"/>
        <v>0</v>
      </c>
    </row>
    <row r="319" spans="19:19" x14ac:dyDescent="0.3">
      <c r="S319" s="13">
        <f t="shared" si="5"/>
        <v>0</v>
      </c>
    </row>
    <row r="320" spans="19:19" x14ac:dyDescent="0.3">
      <c r="S320" s="13">
        <f t="shared" si="5"/>
        <v>0</v>
      </c>
    </row>
    <row r="321" spans="19:19" x14ac:dyDescent="0.3">
      <c r="S321" s="13">
        <f t="shared" si="5"/>
        <v>0</v>
      </c>
    </row>
    <row r="322" spans="19:19" x14ac:dyDescent="0.3">
      <c r="S322" s="13">
        <f t="shared" si="5"/>
        <v>0</v>
      </c>
    </row>
    <row r="323" spans="19:19" x14ac:dyDescent="0.3">
      <c r="S323" s="13">
        <f t="shared" si="5"/>
        <v>0</v>
      </c>
    </row>
    <row r="324" spans="19:19" x14ac:dyDescent="0.3">
      <c r="S324" s="13">
        <f t="shared" si="5"/>
        <v>0</v>
      </c>
    </row>
    <row r="325" spans="19:19" x14ac:dyDescent="0.3">
      <c r="S325" s="13">
        <f t="shared" ref="S325:S388" si="6">SUM(N325:R325)</f>
        <v>0</v>
      </c>
    </row>
    <row r="326" spans="19:19" x14ac:dyDescent="0.3">
      <c r="S326" s="13">
        <f t="shared" si="6"/>
        <v>0</v>
      </c>
    </row>
    <row r="327" spans="19:19" x14ac:dyDescent="0.3">
      <c r="S327" s="13">
        <f t="shared" si="6"/>
        <v>0</v>
      </c>
    </row>
    <row r="328" spans="19:19" x14ac:dyDescent="0.3">
      <c r="S328" s="13">
        <f t="shared" si="6"/>
        <v>0</v>
      </c>
    </row>
    <row r="329" spans="19:19" x14ac:dyDescent="0.3">
      <c r="S329" s="13">
        <f t="shared" si="6"/>
        <v>0</v>
      </c>
    </row>
    <row r="330" spans="19:19" x14ac:dyDescent="0.3">
      <c r="S330" s="13">
        <f t="shared" si="6"/>
        <v>0</v>
      </c>
    </row>
    <row r="331" spans="19:19" x14ac:dyDescent="0.3">
      <c r="S331" s="13">
        <f t="shared" si="6"/>
        <v>0</v>
      </c>
    </row>
    <row r="332" spans="19:19" x14ac:dyDescent="0.3">
      <c r="S332" s="13">
        <f t="shared" si="6"/>
        <v>0</v>
      </c>
    </row>
    <row r="333" spans="19:19" x14ac:dyDescent="0.3">
      <c r="S333" s="13">
        <f t="shared" si="6"/>
        <v>0</v>
      </c>
    </row>
    <row r="334" spans="19:19" x14ac:dyDescent="0.3">
      <c r="S334" s="13">
        <f t="shared" si="6"/>
        <v>0</v>
      </c>
    </row>
    <row r="335" spans="19:19" x14ac:dyDescent="0.3">
      <c r="S335" s="13">
        <f t="shared" si="6"/>
        <v>0</v>
      </c>
    </row>
    <row r="336" spans="19:19" x14ac:dyDescent="0.3">
      <c r="S336" s="13">
        <f t="shared" si="6"/>
        <v>0</v>
      </c>
    </row>
    <row r="337" spans="19:19" x14ac:dyDescent="0.3">
      <c r="S337" s="13">
        <f t="shared" si="6"/>
        <v>0</v>
      </c>
    </row>
    <row r="338" spans="19:19" x14ac:dyDescent="0.3">
      <c r="S338" s="13">
        <f t="shared" si="6"/>
        <v>0</v>
      </c>
    </row>
    <row r="339" spans="19:19" x14ac:dyDescent="0.3">
      <c r="S339" s="13">
        <f t="shared" si="6"/>
        <v>0</v>
      </c>
    </row>
    <row r="340" spans="19:19" x14ac:dyDescent="0.3">
      <c r="S340" s="13">
        <f t="shared" si="6"/>
        <v>0</v>
      </c>
    </row>
    <row r="341" spans="19:19" x14ac:dyDescent="0.3">
      <c r="S341" s="13">
        <f t="shared" si="6"/>
        <v>0</v>
      </c>
    </row>
    <row r="342" spans="19:19" x14ac:dyDescent="0.3">
      <c r="S342" s="13">
        <f t="shared" si="6"/>
        <v>0</v>
      </c>
    </row>
    <row r="343" spans="19:19" x14ac:dyDescent="0.3">
      <c r="S343" s="13">
        <f t="shared" si="6"/>
        <v>0</v>
      </c>
    </row>
    <row r="344" spans="19:19" x14ac:dyDescent="0.3">
      <c r="S344" s="13">
        <f t="shared" si="6"/>
        <v>0</v>
      </c>
    </row>
    <row r="345" spans="19:19" x14ac:dyDescent="0.3">
      <c r="S345" s="13">
        <f t="shared" si="6"/>
        <v>0</v>
      </c>
    </row>
    <row r="346" spans="19:19" x14ac:dyDescent="0.3">
      <c r="S346" s="13">
        <f t="shared" si="6"/>
        <v>0</v>
      </c>
    </row>
    <row r="347" spans="19:19" x14ac:dyDescent="0.3">
      <c r="S347" s="13">
        <f t="shared" si="6"/>
        <v>0</v>
      </c>
    </row>
    <row r="348" spans="19:19" x14ac:dyDescent="0.3">
      <c r="S348" s="13">
        <f t="shared" si="6"/>
        <v>0</v>
      </c>
    </row>
    <row r="349" spans="19:19" x14ac:dyDescent="0.3">
      <c r="S349" s="13">
        <f t="shared" si="6"/>
        <v>0</v>
      </c>
    </row>
    <row r="350" spans="19:19" x14ac:dyDescent="0.3">
      <c r="S350" s="13">
        <f t="shared" si="6"/>
        <v>0</v>
      </c>
    </row>
    <row r="351" spans="19:19" x14ac:dyDescent="0.3">
      <c r="S351" s="13">
        <f t="shared" si="6"/>
        <v>0</v>
      </c>
    </row>
    <row r="352" spans="19:19" x14ac:dyDescent="0.3">
      <c r="S352" s="13">
        <f t="shared" si="6"/>
        <v>0</v>
      </c>
    </row>
    <row r="353" spans="19:19" x14ac:dyDescent="0.3">
      <c r="S353" s="13">
        <f t="shared" si="6"/>
        <v>0</v>
      </c>
    </row>
    <row r="354" spans="19:19" x14ac:dyDescent="0.3">
      <c r="S354" s="13">
        <f t="shared" si="6"/>
        <v>0</v>
      </c>
    </row>
    <row r="355" spans="19:19" x14ac:dyDescent="0.3">
      <c r="S355" s="13">
        <f t="shared" si="6"/>
        <v>0</v>
      </c>
    </row>
    <row r="356" spans="19:19" x14ac:dyDescent="0.3">
      <c r="S356" s="13">
        <f t="shared" si="6"/>
        <v>0</v>
      </c>
    </row>
    <row r="357" spans="19:19" x14ac:dyDescent="0.3">
      <c r="S357" s="13">
        <f t="shared" si="6"/>
        <v>0</v>
      </c>
    </row>
    <row r="358" spans="19:19" x14ac:dyDescent="0.3">
      <c r="S358" s="13">
        <f t="shared" si="6"/>
        <v>0</v>
      </c>
    </row>
    <row r="359" spans="19:19" x14ac:dyDescent="0.3">
      <c r="S359" s="13">
        <f t="shared" si="6"/>
        <v>0</v>
      </c>
    </row>
    <row r="360" spans="19:19" x14ac:dyDescent="0.3">
      <c r="S360" s="13">
        <f t="shared" si="6"/>
        <v>0</v>
      </c>
    </row>
    <row r="361" spans="19:19" x14ac:dyDescent="0.3">
      <c r="S361" s="13">
        <f t="shared" si="6"/>
        <v>0</v>
      </c>
    </row>
    <row r="362" spans="19:19" x14ac:dyDescent="0.3">
      <c r="S362" s="13">
        <f t="shared" si="6"/>
        <v>0</v>
      </c>
    </row>
    <row r="363" spans="19:19" x14ac:dyDescent="0.3">
      <c r="S363" s="13">
        <f t="shared" si="6"/>
        <v>0</v>
      </c>
    </row>
    <row r="364" spans="19:19" x14ac:dyDescent="0.3">
      <c r="S364" s="13">
        <f t="shared" si="6"/>
        <v>0</v>
      </c>
    </row>
    <row r="365" spans="19:19" x14ac:dyDescent="0.3">
      <c r="S365" s="13">
        <f t="shared" si="6"/>
        <v>0</v>
      </c>
    </row>
    <row r="366" spans="19:19" x14ac:dyDescent="0.3">
      <c r="S366" s="13">
        <f t="shared" si="6"/>
        <v>0</v>
      </c>
    </row>
    <row r="367" spans="19:19" x14ac:dyDescent="0.3">
      <c r="S367" s="13">
        <f t="shared" si="6"/>
        <v>0</v>
      </c>
    </row>
    <row r="368" spans="19:19" x14ac:dyDescent="0.3">
      <c r="S368" s="13">
        <f t="shared" si="6"/>
        <v>0</v>
      </c>
    </row>
    <row r="369" spans="19:19" x14ac:dyDescent="0.3">
      <c r="S369" s="13">
        <f t="shared" si="6"/>
        <v>0</v>
      </c>
    </row>
    <row r="370" spans="19:19" x14ac:dyDescent="0.3">
      <c r="S370" s="13">
        <f t="shared" si="6"/>
        <v>0</v>
      </c>
    </row>
    <row r="371" spans="19:19" x14ac:dyDescent="0.3">
      <c r="S371" s="13">
        <f t="shared" si="6"/>
        <v>0</v>
      </c>
    </row>
    <row r="372" spans="19:19" x14ac:dyDescent="0.3">
      <c r="S372" s="13">
        <f t="shared" si="6"/>
        <v>0</v>
      </c>
    </row>
    <row r="373" spans="19:19" x14ac:dyDescent="0.3">
      <c r="S373" s="13">
        <f t="shared" si="6"/>
        <v>0</v>
      </c>
    </row>
    <row r="374" spans="19:19" x14ac:dyDescent="0.3">
      <c r="S374" s="13">
        <f t="shared" si="6"/>
        <v>0</v>
      </c>
    </row>
    <row r="375" spans="19:19" x14ac:dyDescent="0.3">
      <c r="S375" s="13">
        <f t="shared" si="6"/>
        <v>0</v>
      </c>
    </row>
    <row r="376" spans="19:19" x14ac:dyDescent="0.3">
      <c r="S376" s="13">
        <f t="shared" si="6"/>
        <v>0</v>
      </c>
    </row>
    <row r="377" spans="19:19" x14ac:dyDescent="0.3">
      <c r="S377" s="13">
        <f t="shared" si="6"/>
        <v>0</v>
      </c>
    </row>
    <row r="378" spans="19:19" x14ac:dyDescent="0.3">
      <c r="S378" s="13">
        <f t="shared" si="6"/>
        <v>0</v>
      </c>
    </row>
    <row r="379" spans="19:19" x14ac:dyDescent="0.3">
      <c r="S379" s="13">
        <f t="shared" si="6"/>
        <v>0</v>
      </c>
    </row>
    <row r="380" spans="19:19" x14ac:dyDescent="0.3">
      <c r="S380" s="13">
        <f t="shared" si="6"/>
        <v>0</v>
      </c>
    </row>
    <row r="381" spans="19:19" x14ac:dyDescent="0.3">
      <c r="S381" s="13">
        <f t="shared" si="6"/>
        <v>0</v>
      </c>
    </row>
    <row r="382" spans="19:19" x14ac:dyDescent="0.3">
      <c r="S382" s="13">
        <f t="shared" si="6"/>
        <v>0</v>
      </c>
    </row>
    <row r="383" spans="19:19" x14ac:dyDescent="0.3">
      <c r="S383" s="13">
        <f t="shared" si="6"/>
        <v>0</v>
      </c>
    </row>
    <row r="384" spans="19:19" x14ac:dyDescent="0.3">
      <c r="S384" s="13">
        <f t="shared" si="6"/>
        <v>0</v>
      </c>
    </row>
    <row r="385" spans="19:19" x14ac:dyDescent="0.3">
      <c r="S385" s="13">
        <f t="shared" si="6"/>
        <v>0</v>
      </c>
    </row>
    <row r="386" spans="19:19" x14ac:dyDescent="0.3">
      <c r="S386" s="13">
        <f t="shared" si="6"/>
        <v>0</v>
      </c>
    </row>
    <row r="387" spans="19:19" x14ac:dyDescent="0.3">
      <c r="S387" s="13">
        <f t="shared" si="6"/>
        <v>0</v>
      </c>
    </row>
    <row r="388" spans="19:19" x14ac:dyDescent="0.3">
      <c r="S388" s="13">
        <f t="shared" si="6"/>
        <v>0</v>
      </c>
    </row>
    <row r="389" spans="19:19" x14ac:dyDescent="0.3">
      <c r="S389" s="13">
        <f t="shared" ref="S389:S452" si="7">SUM(N389:R389)</f>
        <v>0</v>
      </c>
    </row>
    <row r="390" spans="19:19" x14ac:dyDescent="0.3">
      <c r="S390" s="13">
        <f t="shared" si="7"/>
        <v>0</v>
      </c>
    </row>
    <row r="391" spans="19:19" x14ac:dyDescent="0.3">
      <c r="S391" s="13">
        <f t="shared" si="7"/>
        <v>0</v>
      </c>
    </row>
    <row r="392" spans="19:19" x14ac:dyDescent="0.3">
      <c r="S392" s="13">
        <f t="shared" si="7"/>
        <v>0</v>
      </c>
    </row>
    <row r="393" spans="19:19" x14ac:dyDescent="0.3">
      <c r="S393" s="13">
        <f t="shared" si="7"/>
        <v>0</v>
      </c>
    </row>
    <row r="394" spans="19:19" x14ac:dyDescent="0.3">
      <c r="S394" s="13">
        <f t="shared" si="7"/>
        <v>0</v>
      </c>
    </row>
    <row r="395" spans="19:19" x14ac:dyDescent="0.3">
      <c r="S395" s="13">
        <f t="shared" si="7"/>
        <v>0</v>
      </c>
    </row>
    <row r="396" spans="19:19" x14ac:dyDescent="0.3">
      <c r="S396" s="13">
        <f t="shared" si="7"/>
        <v>0</v>
      </c>
    </row>
    <row r="397" spans="19:19" x14ac:dyDescent="0.3">
      <c r="S397" s="13">
        <f t="shared" si="7"/>
        <v>0</v>
      </c>
    </row>
    <row r="398" spans="19:19" x14ac:dyDescent="0.3">
      <c r="S398" s="13">
        <f t="shared" si="7"/>
        <v>0</v>
      </c>
    </row>
    <row r="399" spans="19:19" x14ac:dyDescent="0.3">
      <c r="S399" s="13">
        <f t="shared" si="7"/>
        <v>0</v>
      </c>
    </row>
    <row r="400" spans="19:19" x14ac:dyDescent="0.3">
      <c r="S400" s="13">
        <f t="shared" si="7"/>
        <v>0</v>
      </c>
    </row>
    <row r="401" spans="19:19" x14ac:dyDescent="0.3">
      <c r="S401" s="13">
        <f t="shared" si="7"/>
        <v>0</v>
      </c>
    </row>
    <row r="402" spans="19:19" x14ac:dyDescent="0.3">
      <c r="S402" s="13">
        <f t="shared" si="7"/>
        <v>0</v>
      </c>
    </row>
    <row r="403" spans="19:19" x14ac:dyDescent="0.3">
      <c r="S403" s="13">
        <f t="shared" si="7"/>
        <v>0</v>
      </c>
    </row>
    <row r="404" spans="19:19" x14ac:dyDescent="0.3">
      <c r="S404" s="13">
        <f t="shared" si="7"/>
        <v>0</v>
      </c>
    </row>
    <row r="405" spans="19:19" x14ac:dyDescent="0.3">
      <c r="S405" s="13">
        <f t="shared" si="7"/>
        <v>0</v>
      </c>
    </row>
    <row r="406" spans="19:19" x14ac:dyDescent="0.3">
      <c r="S406" s="13">
        <f t="shared" si="7"/>
        <v>0</v>
      </c>
    </row>
    <row r="407" spans="19:19" x14ac:dyDescent="0.3">
      <c r="S407" s="13">
        <f t="shared" si="7"/>
        <v>0</v>
      </c>
    </row>
    <row r="408" spans="19:19" x14ac:dyDescent="0.3">
      <c r="S408" s="13">
        <f t="shared" si="7"/>
        <v>0</v>
      </c>
    </row>
    <row r="409" spans="19:19" x14ac:dyDescent="0.3">
      <c r="S409" s="13">
        <f t="shared" si="7"/>
        <v>0</v>
      </c>
    </row>
    <row r="410" spans="19:19" x14ac:dyDescent="0.3">
      <c r="S410" s="13">
        <f t="shared" si="7"/>
        <v>0</v>
      </c>
    </row>
    <row r="411" spans="19:19" x14ac:dyDescent="0.3">
      <c r="S411" s="13">
        <f t="shared" si="7"/>
        <v>0</v>
      </c>
    </row>
    <row r="412" spans="19:19" x14ac:dyDescent="0.3">
      <c r="S412" s="13">
        <f t="shared" si="7"/>
        <v>0</v>
      </c>
    </row>
    <row r="413" spans="19:19" x14ac:dyDescent="0.3">
      <c r="S413" s="13">
        <f t="shared" si="7"/>
        <v>0</v>
      </c>
    </row>
    <row r="414" spans="19:19" x14ac:dyDescent="0.3">
      <c r="S414" s="13">
        <f t="shared" si="7"/>
        <v>0</v>
      </c>
    </row>
    <row r="415" spans="19:19" x14ac:dyDescent="0.3">
      <c r="S415" s="13">
        <f t="shared" si="7"/>
        <v>0</v>
      </c>
    </row>
    <row r="416" spans="19:19" x14ac:dyDescent="0.3">
      <c r="S416" s="13">
        <f t="shared" si="7"/>
        <v>0</v>
      </c>
    </row>
    <row r="417" spans="19:19" x14ac:dyDescent="0.3">
      <c r="S417" s="13">
        <f t="shared" si="7"/>
        <v>0</v>
      </c>
    </row>
    <row r="418" spans="19:19" x14ac:dyDescent="0.3">
      <c r="S418" s="13">
        <f t="shared" si="7"/>
        <v>0</v>
      </c>
    </row>
    <row r="419" spans="19:19" x14ac:dyDescent="0.3">
      <c r="S419" s="13">
        <f t="shared" si="7"/>
        <v>0</v>
      </c>
    </row>
    <row r="420" spans="19:19" x14ac:dyDescent="0.3">
      <c r="S420" s="13">
        <f t="shared" si="7"/>
        <v>0</v>
      </c>
    </row>
    <row r="421" spans="19:19" x14ac:dyDescent="0.3">
      <c r="S421" s="13">
        <f t="shared" si="7"/>
        <v>0</v>
      </c>
    </row>
    <row r="422" spans="19:19" x14ac:dyDescent="0.3">
      <c r="S422" s="13">
        <f t="shared" si="7"/>
        <v>0</v>
      </c>
    </row>
    <row r="423" spans="19:19" x14ac:dyDescent="0.3">
      <c r="S423" s="13">
        <f t="shared" si="7"/>
        <v>0</v>
      </c>
    </row>
    <row r="424" spans="19:19" x14ac:dyDescent="0.3">
      <c r="S424" s="13">
        <f t="shared" si="7"/>
        <v>0</v>
      </c>
    </row>
    <row r="425" spans="19:19" x14ac:dyDescent="0.3">
      <c r="S425" s="13">
        <f t="shared" si="7"/>
        <v>0</v>
      </c>
    </row>
    <row r="426" spans="19:19" x14ac:dyDescent="0.3">
      <c r="S426" s="13">
        <f t="shared" si="7"/>
        <v>0</v>
      </c>
    </row>
    <row r="427" spans="19:19" x14ac:dyDescent="0.3">
      <c r="S427" s="13">
        <f t="shared" si="7"/>
        <v>0</v>
      </c>
    </row>
    <row r="428" spans="19:19" x14ac:dyDescent="0.3">
      <c r="S428" s="13">
        <f t="shared" si="7"/>
        <v>0</v>
      </c>
    </row>
    <row r="429" spans="19:19" x14ac:dyDescent="0.3">
      <c r="S429" s="13">
        <f t="shared" si="7"/>
        <v>0</v>
      </c>
    </row>
    <row r="430" spans="19:19" x14ac:dyDescent="0.3">
      <c r="S430" s="13">
        <f t="shared" si="7"/>
        <v>0</v>
      </c>
    </row>
    <row r="431" spans="19:19" x14ac:dyDescent="0.3">
      <c r="S431" s="13">
        <f t="shared" si="7"/>
        <v>0</v>
      </c>
    </row>
    <row r="432" spans="19:19" x14ac:dyDescent="0.3">
      <c r="S432" s="13">
        <f t="shared" si="7"/>
        <v>0</v>
      </c>
    </row>
    <row r="433" spans="19:19" x14ac:dyDescent="0.3">
      <c r="S433" s="13">
        <f t="shared" si="7"/>
        <v>0</v>
      </c>
    </row>
    <row r="434" spans="19:19" x14ac:dyDescent="0.3">
      <c r="S434" s="13">
        <f t="shared" si="7"/>
        <v>0</v>
      </c>
    </row>
    <row r="435" spans="19:19" x14ac:dyDescent="0.3">
      <c r="S435" s="13">
        <f t="shared" si="7"/>
        <v>0</v>
      </c>
    </row>
    <row r="436" spans="19:19" x14ac:dyDescent="0.3">
      <c r="S436" s="13">
        <f t="shared" si="7"/>
        <v>0</v>
      </c>
    </row>
    <row r="437" spans="19:19" x14ac:dyDescent="0.3">
      <c r="S437" s="13">
        <f t="shared" si="7"/>
        <v>0</v>
      </c>
    </row>
    <row r="438" spans="19:19" x14ac:dyDescent="0.3">
      <c r="S438" s="13">
        <f t="shared" si="7"/>
        <v>0</v>
      </c>
    </row>
    <row r="439" spans="19:19" x14ac:dyDescent="0.3">
      <c r="S439" s="13">
        <f t="shared" si="7"/>
        <v>0</v>
      </c>
    </row>
    <row r="440" spans="19:19" x14ac:dyDescent="0.3">
      <c r="S440" s="13">
        <f t="shared" si="7"/>
        <v>0</v>
      </c>
    </row>
    <row r="441" spans="19:19" x14ac:dyDescent="0.3">
      <c r="S441" s="13">
        <f t="shared" si="7"/>
        <v>0</v>
      </c>
    </row>
    <row r="442" spans="19:19" x14ac:dyDescent="0.3">
      <c r="S442" s="13">
        <f t="shared" si="7"/>
        <v>0</v>
      </c>
    </row>
    <row r="443" spans="19:19" x14ac:dyDescent="0.3">
      <c r="S443" s="13">
        <f t="shared" si="7"/>
        <v>0</v>
      </c>
    </row>
    <row r="444" spans="19:19" x14ac:dyDescent="0.3">
      <c r="S444" s="13">
        <f t="shared" si="7"/>
        <v>0</v>
      </c>
    </row>
    <row r="445" spans="19:19" x14ac:dyDescent="0.3">
      <c r="S445" s="13">
        <f t="shared" si="7"/>
        <v>0</v>
      </c>
    </row>
    <row r="446" spans="19:19" x14ac:dyDescent="0.3">
      <c r="S446" s="13">
        <f t="shared" si="7"/>
        <v>0</v>
      </c>
    </row>
    <row r="447" spans="19:19" x14ac:dyDescent="0.3">
      <c r="S447" s="13">
        <f t="shared" si="7"/>
        <v>0</v>
      </c>
    </row>
    <row r="448" spans="19:19" x14ac:dyDescent="0.3">
      <c r="S448" s="13">
        <f t="shared" si="7"/>
        <v>0</v>
      </c>
    </row>
    <row r="449" spans="19:19" x14ac:dyDescent="0.3">
      <c r="S449" s="13">
        <f t="shared" si="7"/>
        <v>0</v>
      </c>
    </row>
    <row r="450" spans="19:19" x14ac:dyDescent="0.3">
      <c r="S450" s="13">
        <f t="shared" si="7"/>
        <v>0</v>
      </c>
    </row>
    <row r="451" spans="19:19" x14ac:dyDescent="0.3">
      <c r="S451" s="13">
        <f t="shared" si="7"/>
        <v>0</v>
      </c>
    </row>
    <row r="452" spans="19:19" x14ac:dyDescent="0.3">
      <c r="S452" s="13">
        <f t="shared" si="7"/>
        <v>0</v>
      </c>
    </row>
    <row r="453" spans="19:19" x14ac:dyDescent="0.3">
      <c r="S453" s="13">
        <f t="shared" ref="S453:S516" si="8">SUM(N453:R453)</f>
        <v>0</v>
      </c>
    </row>
    <row r="454" spans="19:19" x14ac:dyDescent="0.3">
      <c r="S454" s="13">
        <f t="shared" si="8"/>
        <v>0</v>
      </c>
    </row>
    <row r="455" spans="19:19" x14ac:dyDescent="0.3">
      <c r="S455" s="13">
        <f t="shared" si="8"/>
        <v>0</v>
      </c>
    </row>
    <row r="456" spans="19:19" x14ac:dyDescent="0.3">
      <c r="S456" s="13">
        <f t="shared" si="8"/>
        <v>0</v>
      </c>
    </row>
    <row r="457" spans="19:19" x14ac:dyDescent="0.3">
      <c r="S457" s="13">
        <f t="shared" si="8"/>
        <v>0</v>
      </c>
    </row>
    <row r="458" spans="19:19" x14ac:dyDescent="0.3">
      <c r="S458" s="13">
        <f t="shared" si="8"/>
        <v>0</v>
      </c>
    </row>
    <row r="459" spans="19:19" x14ac:dyDescent="0.3">
      <c r="S459" s="13">
        <f t="shared" si="8"/>
        <v>0</v>
      </c>
    </row>
    <row r="460" spans="19:19" x14ac:dyDescent="0.3">
      <c r="S460" s="13">
        <f t="shared" si="8"/>
        <v>0</v>
      </c>
    </row>
    <row r="461" spans="19:19" x14ac:dyDescent="0.3">
      <c r="S461" s="13">
        <f t="shared" si="8"/>
        <v>0</v>
      </c>
    </row>
    <row r="462" spans="19:19" x14ac:dyDescent="0.3">
      <c r="S462" s="13">
        <f t="shared" si="8"/>
        <v>0</v>
      </c>
    </row>
    <row r="463" spans="19:19" x14ac:dyDescent="0.3">
      <c r="S463" s="13">
        <f t="shared" si="8"/>
        <v>0</v>
      </c>
    </row>
    <row r="464" spans="19:19" x14ac:dyDescent="0.3">
      <c r="S464" s="13">
        <f t="shared" si="8"/>
        <v>0</v>
      </c>
    </row>
    <row r="465" spans="19:19" x14ac:dyDescent="0.3">
      <c r="S465" s="13">
        <f t="shared" si="8"/>
        <v>0</v>
      </c>
    </row>
    <row r="466" spans="19:19" x14ac:dyDescent="0.3">
      <c r="S466" s="13">
        <f t="shared" si="8"/>
        <v>0</v>
      </c>
    </row>
    <row r="467" spans="19:19" x14ac:dyDescent="0.3">
      <c r="S467" s="13">
        <f t="shared" si="8"/>
        <v>0</v>
      </c>
    </row>
    <row r="468" spans="19:19" x14ac:dyDescent="0.3">
      <c r="S468" s="13">
        <f t="shared" si="8"/>
        <v>0</v>
      </c>
    </row>
    <row r="469" spans="19:19" x14ac:dyDescent="0.3">
      <c r="S469" s="13">
        <f t="shared" si="8"/>
        <v>0</v>
      </c>
    </row>
    <row r="470" spans="19:19" x14ac:dyDescent="0.3">
      <c r="S470" s="13">
        <f t="shared" si="8"/>
        <v>0</v>
      </c>
    </row>
    <row r="471" spans="19:19" x14ac:dyDescent="0.3">
      <c r="S471" s="13">
        <f t="shared" si="8"/>
        <v>0</v>
      </c>
    </row>
    <row r="472" spans="19:19" x14ac:dyDescent="0.3">
      <c r="S472" s="13">
        <f t="shared" si="8"/>
        <v>0</v>
      </c>
    </row>
    <row r="473" spans="19:19" x14ac:dyDescent="0.3">
      <c r="S473" s="13">
        <f t="shared" si="8"/>
        <v>0</v>
      </c>
    </row>
    <row r="474" spans="19:19" x14ac:dyDescent="0.3">
      <c r="S474" s="13">
        <f t="shared" si="8"/>
        <v>0</v>
      </c>
    </row>
    <row r="475" spans="19:19" x14ac:dyDescent="0.3">
      <c r="S475" s="13">
        <f t="shared" si="8"/>
        <v>0</v>
      </c>
    </row>
    <row r="476" spans="19:19" x14ac:dyDescent="0.3">
      <c r="S476" s="13">
        <f t="shared" si="8"/>
        <v>0</v>
      </c>
    </row>
    <row r="477" spans="19:19" x14ac:dyDescent="0.3">
      <c r="S477" s="13">
        <f t="shared" si="8"/>
        <v>0</v>
      </c>
    </row>
    <row r="478" spans="19:19" x14ac:dyDescent="0.3">
      <c r="S478" s="13">
        <f t="shared" si="8"/>
        <v>0</v>
      </c>
    </row>
    <row r="479" spans="19:19" x14ac:dyDescent="0.3">
      <c r="S479" s="13">
        <f t="shared" si="8"/>
        <v>0</v>
      </c>
    </row>
    <row r="480" spans="19:19" x14ac:dyDescent="0.3">
      <c r="S480" s="13">
        <f t="shared" si="8"/>
        <v>0</v>
      </c>
    </row>
    <row r="481" spans="19:19" x14ac:dyDescent="0.3">
      <c r="S481" s="13">
        <f t="shared" si="8"/>
        <v>0</v>
      </c>
    </row>
    <row r="482" spans="19:19" x14ac:dyDescent="0.3">
      <c r="S482" s="13">
        <f t="shared" si="8"/>
        <v>0</v>
      </c>
    </row>
    <row r="483" spans="19:19" x14ac:dyDescent="0.3">
      <c r="S483" s="13">
        <f t="shared" si="8"/>
        <v>0</v>
      </c>
    </row>
    <row r="484" spans="19:19" x14ac:dyDescent="0.3">
      <c r="S484" s="13">
        <f t="shared" si="8"/>
        <v>0</v>
      </c>
    </row>
    <row r="485" spans="19:19" x14ac:dyDescent="0.3">
      <c r="S485" s="13">
        <f t="shared" si="8"/>
        <v>0</v>
      </c>
    </row>
    <row r="486" spans="19:19" x14ac:dyDescent="0.3">
      <c r="S486" s="13">
        <f t="shared" si="8"/>
        <v>0</v>
      </c>
    </row>
    <row r="487" spans="19:19" x14ac:dyDescent="0.3">
      <c r="S487" s="13">
        <f t="shared" si="8"/>
        <v>0</v>
      </c>
    </row>
    <row r="488" spans="19:19" x14ac:dyDescent="0.3">
      <c r="S488" s="13">
        <f t="shared" si="8"/>
        <v>0</v>
      </c>
    </row>
    <row r="489" spans="19:19" x14ac:dyDescent="0.3">
      <c r="S489" s="13">
        <f t="shared" si="8"/>
        <v>0</v>
      </c>
    </row>
    <row r="490" spans="19:19" x14ac:dyDescent="0.3">
      <c r="S490" s="13">
        <f t="shared" si="8"/>
        <v>0</v>
      </c>
    </row>
    <row r="491" spans="19:19" x14ac:dyDescent="0.3">
      <c r="S491" s="13">
        <f t="shared" si="8"/>
        <v>0</v>
      </c>
    </row>
    <row r="492" spans="19:19" x14ac:dyDescent="0.3">
      <c r="S492" s="13">
        <f t="shared" si="8"/>
        <v>0</v>
      </c>
    </row>
    <row r="493" spans="19:19" x14ac:dyDescent="0.3">
      <c r="S493" s="13">
        <f t="shared" si="8"/>
        <v>0</v>
      </c>
    </row>
    <row r="494" spans="19:19" x14ac:dyDescent="0.3">
      <c r="S494" s="13">
        <f t="shared" si="8"/>
        <v>0</v>
      </c>
    </row>
    <row r="495" spans="19:19" x14ac:dyDescent="0.3">
      <c r="S495" s="13">
        <f t="shared" si="8"/>
        <v>0</v>
      </c>
    </row>
    <row r="496" spans="19:19" x14ac:dyDescent="0.3">
      <c r="S496" s="13">
        <f t="shared" si="8"/>
        <v>0</v>
      </c>
    </row>
    <row r="497" spans="19:19" x14ac:dyDescent="0.3">
      <c r="S497" s="13">
        <f t="shared" si="8"/>
        <v>0</v>
      </c>
    </row>
    <row r="498" spans="19:19" x14ac:dyDescent="0.3">
      <c r="S498" s="13">
        <f t="shared" si="8"/>
        <v>0</v>
      </c>
    </row>
    <row r="499" spans="19:19" x14ac:dyDescent="0.3">
      <c r="S499" s="13">
        <f t="shared" si="8"/>
        <v>0</v>
      </c>
    </row>
    <row r="500" spans="19:19" x14ac:dyDescent="0.3">
      <c r="S500" s="13">
        <f t="shared" si="8"/>
        <v>0</v>
      </c>
    </row>
    <row r="501" spans="19:19" x14ac:dyDescent="0.3">
      <c r="S501" s="13">
        <f t="shared" si="8"/>
        <v>0</v>
      </c>
    </row>
    <row r="502" spans="19:19" x14ac:dyDescent="0.3">
      <c r="S502" s="13">
        <f t="shared" si="8"/>
        <v>0</v>
      </c>
    </row>
    <row r="503" spans="19:19" x14ac:dyDescent="0.3">
      <c r="S503" s="13">
        <f t="shared" si="8"/>
        <v>0</v>
      </c>
    </row>
    <row r="504" spans="19:19" x14ac:dyDescent="0.3">
      <c r="S504" s="13">
        <f t="shared" si="8"/>
        <v>0</v>
      </c>
    </row>
    <row r="505" spans="19:19" x14ac:dyDescent="0.3">
      <c r="S505" s="13">
        <f t="shared" si="8"/>
        <v>0</v>
      </c>
    </row>
    <row r="506" spans="19:19" x14ac:dyDescent="0.3">
      <c r="S506" s="13">
        <f t="shared" si="8"/>
        <v>0</v>
      </c>
    </row>
    <row r="507" spans="19:19" x14ac:dyDescent="0.3">
      <c r="S507" s="13">
        <f t="shared" si="8"/>
        <v>0</v>
      </c>
    </row>
    <row r="508" spans="19:19" x14ac:dyDescent="0.3">
      <c r="S508" s="13">
        <f t="shared" si="8"/>
        <v>0</v>
      </c>
    </row>
    <row r="509" spans="19:19" x14ac:dyDescent="0.3">
      <c r="S509" s="13">
        <f t="shared" si="8"/>
        <v>0</v>
      </c>
    </row>
    <row r="510" spans="19:19" x14ac:dyDescent="0.3">
      <c r="S510" s="13">
        <f t="shared" si="8"/>
        <v>0</v>
      </c>
    </row>
    <row r="511" spans="19:19" x14ac:dyDescent="0.3">
      <c r="S511" s="13">
        <f t="shared" si="8"/>
        <v>0</v>
      </c>
    </row>
    <row r="512" spans="19:19" x14ac:dyDescent="0.3">
      <c r="S512" s="13">
        <f t="shared" si="8"/>
        <v>0</v>
      </c>
    </row>
    <row r="513" spans="19:19" x14ac:dyDescent="0.3">
      <c r="S513" s="13">
        <f t="shared" si="8"/>
        <v>0</v>
      </c>
    </row>
    <row r="514" spans="19:19" x14ac:dyDescent="0.3">
      <c r="S514" s="13">
        <f t="shared" si="8"/>
        <v>0</v>
      </c>
    </row>
    <row r="515" spans="19:19" x14ac:dyDescent="0.3">
      <c r="S515" s="13">
        <f t="shared" si="8"/>
        <v>0</v>
      </c>
    </row>
    <row r="516" spans="19:19" x14ac:dyDescent="0.3">
      <c r="S516" s="13">
        <f t="shared" si="8"/>
        <v>0</v>
      </c>
    </row>
    <row r="517" spans="19:19" x14ac:dyDescent="0.3">
      <c r="S517" s="13">
        <f t="shared" ref="S517:S525" si="9">SUM(N517:R517)</f>
        <v>0</v>
      </c>
    </row>
    <row r="518" spans="19:19" x14ac:dyDescent="0.3">
      <c r="S518" s="13">
        <f t="shared" si="9"/>
        <v>0</v>
      </c>
    </row>
    <row r="519" spans="19:19" x14ac:dyDescent="0.3">
      <c r="S519" s="13">
        <f t="shared" si="9"/>
        <v>0</v>
      </c>
    </row>
    <row r="520" spans="19:19" x14ac:dyDescent="0.3">
      <c r="S520" s="13">
        <f t="shared" si="9"/>
        <v>0</v>
      </c>
    </row>
    <row r="521" spans="19:19" x14ac:dyDescent="0.3">
      <c r="S521" s="13">
        <f t="shared" si="9"/>
        <v>0</v>
      </c>
    </row>
    <row r="522" spans="19:19" x14ac:dyDescent="0.3">
      <c r="S522" s="13">
        <f t="shared" si="9"/>
        <v>0</v>
      </c>
    </row>
    <row r="523" spans="19:19" x14ac:dyDescent="0.3">
      <c r="S523" s="13">
        <f t="shared" si="9"/>
        <v>0</v>
      </c>
    </row>
    <row r="524" spans="19:19" x14ac:dyDescent="0.3">
      <c r="S524" s="13">
        <f t="shared" si="9"/>
        <v>0</v>
      </c>
    </row>
    <row r="525" spans="19:19" x14ac:dyDescent="0.3">
      <c r="S525" s="13">
        <f t="shared" si="9"/>
        <v>0</v>
      </c>
    </row>
  </sheetData>
  <autoFilter ref="A1:S1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9CFB-62B8-42CA-A448-E0C938653E1B}">
  <sheetPr>
    <tabColor theme="7" tint="0.59999389629810485"/>
  </sheetPr>
  <dimension ref="A1:U527"/>
  <sheetViews>
    <sheetView topLeftCell="A7" workbookViewId="0">
      <pane xSplit="1" topLeftCell="C1" activePane="topRight" state="frozen"/>
      <selection pane="topRight" activeCell="L23" sqref="L23"/>
    </sheetView>
  </sheetViews>
  <sheetFormatPr defaultColWidth="8.88671875" defaultRowHeight="14.4" x14ac:dyDescent="0.3"/>
  <cols>
    <col min="1" max="1" width="23.6640625" style="2" customWidth="1"/>
    <col min="2" max="2" width="17.33203125" style="2" customWidth="1"/>
    <col min="3" max="3" width="31.6640625" style="2" customWidth="1"/>
    <col min="4" max="4" width="13.44140625" style="2" customWidth="1"/>
    <col min="5" max="5" width="14.33203125" style="2" customWidth="1"/>
    <col min="6" max="6" width="12.109375" style="2" customWidth="1"/>
    <col min="7" max="7" width="11.44140625" style="2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8.6640625" style="2" customWidth="1"/>
    <col min="18" max="18" width="8.88671875" style="2"/>
    <col min="19" max="19" width="8.88671875" style="19"/>
    <col min="20" max="16384" width="8.88671875" style="2"/>
  </cols>
  <sheetData>
    <row r="1" spans="1:21" ht="28.8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7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8" t="s">
        <v>18</v>
      </c>
      <c r="T1" s="7"/>
      <c r="U1" s="1"/>
    </row>
    <row r="2" spans="1:21" x14ac:dyDescent="0.3">
      <c r="A2" s="2" t="s">
        <v>239</v>
      </c>
      <c r="B2" s="2" t="s">
        <v>31</v>
      </c>
      <c r="C2" s="59" t="s">
        <v>240</v>
      </c>
      <c r="E2" s="57">
        <v>45695</v>
      </c>
      <c r="F2" s="57">
        <v>45695</v>
      </c>
      <c r="G2" s="57">
        <v>45695</v>
      </c>
      <c r="H2" s="2">
        <v>1</v>
      </c>
      <c r="N2" s="2">
        <v>184</v>
      </c>
      <c r="S2" s="19">
        <f>SUM(N2:R2)</f>
        <v>184</v>
      </c>
    </row>
    <row r="3" spans="1:21" x14ac:dyDescent="0.3">
      <c r="A3" s="2" t="s">
        <v>187</v>
      </c>
      <c r="B3" s="2" t="s">
        <v>30</v>
      </c>
      <c r="C3" s="59" t="s">
        <v>241</v>
      </c>
      <c r="E3" s="57">
        <v>45716</v>
      </c>
      <c r="F3" s="57">
        <v>45716</v>
      </c>
      <c r="G3" s="57">
        <v>45716</v>
      </c>
      <c r="H3" s="2">
        <v>1</v>
      </c>
      <c r="N3" s="2">
        <v>3152</v>
      </c>
      <c r="S3" s="19">
        <f t="shared" ref="S3:S5" si="0">SUM(N3:R3)</f>
        <v>3152</v>
      </c>
    </row>
    <row r="4" spans="1:21" x14ac:dyDescent="0.3">
      <c r="A4" s="2" t="s">
        <v>242</v>
      </c>
      <c r="B4" s="2" t="s">
        <v>31</v>
      </c>
      <c r="C4" s="59" t="s">
        <v>243</v>
      </c>
      <c r="E4" s="57">
        <v>45747</v>
      </c>
      <c r="F4" s="57">
        <v>45747</v>
      </c>
      <c r="G4" s="57">
        <v>45747</v>
      </c>
      <c r="H4" s="2">
        <v>1</v>
      </c>
      <c r="N4" s="2">
        <v>3546</v>
      </c>
      <c r="S4" s="19">
        <f t="shared" si="0"/>
        <v>3546</v>
      </c>
    </row>
    <row r="5" spans="1:21" x14ac:dyDescent="0.3">
      <c r="A5" s="2" t="s">
        <v>244</v>
      </c>
      <c r="B5" s="2" t="s">
        <v>31</v>
      </c>
      <c r="C5" s="59" t="s">
        <v>245</v>
      </c>
      <c r="E5" s="57">
        <v>45784</v>
      </c>
      <c r="F5" s="57">
        <v>45784</v>
      </c>
      <c r="G5" s="57">
        <v>45784</v>
      </c>
      <c r="H5" s="2">
        <v>1</v>
      </c>
      <c r="N5" s="2">
        <v>900</v>
      </c>
      <c r="S5" s="19">
        <f t="shared" si="0"/>
        <v>900</v>
      </c>
    </row>
    <row r="6" spans="1:21" ht="28.8" x14ac:dyDescent="0.3">
      <c r="A6" s="2" t="s">
        <v>160</v>
      </c>
      <c r="B6" s="2" t="s">
        <v>31</v>
      </c>
      <c r="C6" s="59" t="s">
        <v>150</v>
      </c>
      <c r="E6" s="2" t="s">
        <v>151</v>
      </c>
      <c r="F6" s="57">
        <v>45790</v>
      </c>
      <c r="G6" s="57">
        <v>45792</v>
      </c>
      <c r="H6" s="2">
        <v>4</v>
      </c>
      <c r="I6" s="2" t="s">
        <v>54</v>
      </c>
      <c r="J6" s="2" t="s">
        <v>65</v>
      </c>
      <c r="L6" s="2">
        <v>620</v>
      </c>
      <c r="O6" s="2">
        <v>230</v>
      </c>
      <c r="P6" s="2">
        <v>578</v>
      </c>
      <c r="S6" s="19">
        <f>SUM(N6:R6)</f>
        <v>808</v>
      </c>
    </row>
    <row r="7" spans="1:21" ht="28.8" x14ac:dyDescent="0.3">
      <c r="A7" s="2" t="s">
        <v>161</v>
      </c>
      <c r="B7" s="2" t="s">
        <v>31</v>
      </c>
      <c r="C7" s="59" t="s">
        <v>150</v>
      </c>
      <c r="E7" s="2" t="s">
        <v>151</v>
      </c>
      <c r="F7" s="57">
        <v>45790</v>
      </c>
      <c r="G7" s="57">
        <v>45792</v>
      </c>
      <c r="H7" s="2">
        <v>4</v>
      </c>
      <c r="I7" s="2" t="s">
        <v>54</v>
      </c>
      <c r="J7" s="2" t="s">
        <v>65</v>
      </c>
      <c r="L7" s="2">
        <v>619</v>
      </c>
      <c r="O7" s="2">
        <v>230</v>
      </c>
      <c r="P7" s="2">
        <v>578</v>
      </c>
      <c r="S7" s="19">
        <f t="shared" ref="S7:S70" si="1">SUM(N7:R7)</f>
        <v>808</v>
      </c>
    </row>
    <row r="8" spans="1:21" x14ac:dyDescent="0.3">
      <c r="A8" s="2" t="s">
        <v>187</v>
      </c>
      <c r="B8" s="2" t="s">
        <v>30</v>
      </c>
      <c r="C8" s="2" t="s">
        <v>191</v>
      </c>
      <c r="E8" s="2" t="s">
        <v>177</v>
      </c>
      <c r="F8" s="57">
        <v>45812</v>
      </c>
      <c r="G8" s="57">
        <v>45814</v>
      </c>
      <c r="H8" s="2">
        <v>2</v>
      </c>
      <c r="I8" s="2" t="s">
        <v>54</v>
      </c>
      <c r="J8" s="2" t="s">
        <v>65</v>
      </c>
      <c r="L8" s="2">
        <v>711</v>
      </c>
      <c r="O8" s="2">
        <v>115</v>
      </c>
      <c r="P8" s="2">
        <v>918</v>
      </c>
      <c r="S8" s="19">
        <f t="shared" si="1"/>
        <v>1033</v>
      </c>
    </row>
    <row r="9" spans="1:21" x14ac:dyDescent="0.3">
      <c r="A9" s="2" t="s">
        <v>188</v>
      </c>
      <c r="B9" s="2" t="s">
        <v>30</v>
      </c>
      <c r="C9" s="2" t="s">
        <v>191</v>
      </c>
      <c r="E9" s="2" t="s">
        <v>177</v>
      </c>
      <c r="F9" s="57">
        <v>45812</v>
      </c>
      <c r="G9" s="57">
        <v>45814</v>
      </c>
      <c r="H9" s="2">
        <v>2</v>
      </c>
      <c r="I9" s="2" t="s">
        <v>54</v>
      </c>
      <c r="J9" s="2" t="s">
        <v>65</v>
      </c>
      <c r="L9" s="2">
        <v>712</v>
      </c>
      <c r="O9" s="2">
        <v>115</v>
      </c>
      <c r="P9" s="2">
        <v>459</v>
      </c>
      <c r="S9" s="19">
        <f t="shared" si="1"/>
        <v>574</v>
      </c>
    </row>
    <row r="10" spans="1:21" x14ac:dyDescent="0.3">
      <c r="A10" s="2" t="s">
        <v>189</v>
      </c>
      <c r="B10" s="2" t="s">
        <v>30</v>
      </c>
      <c r="C10" s="2" t="s">
        <v>191</v>
      </c>
      <c r="E10" s="2" t="s">
        <v>177</v>
      </c>
      <c r="F10" s="57">
        <v>45812</v>
      </c>
      <c r="G10" s="57">
        <v>45814</v>
      </c>
      <c r="H10" s="2">
        <v>2</v>
      </c>
      <c r="I10" s="2" t="s">
        <v>54</v>
      </c>
      <c r="J10" s="2" t="s">
        <v>65</v>
      </c>
      <c r="L10" s="2">
        <v>713</v>
      </c>
      <c r="O10" s="2">
        <v>115</v>
      </c>
      <c r="P10" s="2">
        <v>1031</v>
      </c>
      <c r="S10" s="19">
        <f t="shared" si="1"/>
        <v>1146</v>
      </c>
    </row>
    <row r="11" spans="1:21" x14ac:dyDescent="0.3">
      <c r="A11" s="2" t="s">
        <v>190</v>
      </c>
      <c r="B11" s="2" t="s">
        <v>30</v>
      </c>
      <c r="C11" s="2" t="s">
        <v>191</v>
      </c>
      <c r="E11" s="2" t="s">
        <v>177</v>
      </c>
      <c r="F11" s="57">
        <v>45812</v>
      </c>
      <c r="G11" s="57">
        <v>45812</v>
      </c>
      <c r="H11" s="2">
        <v>2</v>
      </c>
      <c r="I11" s="2" t="s">
        <v>54</v>
      </c>
      <c r="J11" s="2" t="s">
        <v>65</v>
      </c>
      <c r="L11" s="2">
        <v>714</v>
      </c>
      <c r="O11" s="2">
        <v>115</v>
      </c>
      <c r="P11" s="2">
        <v>459</v>
      </c>
      <c r="S11" s="19">
        <f t="shared" si="1"/>
        <v>574</v>
      </c>
    </row>
    <row r="12" spans="1:21" x14ac:dyDescent="0.3">
      <c r="A12" s="2" t="s">
        <v>160</v>
      </c>
      <c r="B12" s="2" t="s">
        <v>31</v>
      </c>
      <c r="C12" s="2" t="s">
        <v>182</v>
      </c>
      <c r="E12" s="2" t="s">
        <v>183</v>
      </c>
      <c r="F12" s="57">
        <v>45831</v>
      </c>
      <c r="G12" s="57">
        <v>45834</v>
      </c>
      <c r="H12" s="2">
        <v>4</v>
      </c>
      <c r="I12" s="2" t="s">
        <v>54</v>
      </c>
      <c r="J12" s="2" t="s">
        <v>65</v>
      </c>
      <c r="L12" s="2">
        <v>813</v>
      </c>
      <c r="O12" s="2">
        <v>230</v>
      </c>
      <c r="P12" s="2">
        <v>620</v>
      </c>
      <c r="S12" s="19">
        <f t="shared" si="1"/>
        <v>850</v>
      </c>
    </row>
    <row r="13" spans="1:21" x14ac:dyDescent="0.3">
      <c r="A13" s="2" t="s">
        <v>161</v>
      </c>
      <c r="B13" s="2" t="s">
        <v>31</v>
      </c>
      <c r="C13" s="2" t="s">
        <v>182</v>
      </c>
      <c r="E13" s="2" t="s">
        <v>183</v>
      </c>
      <c r="F13" s="57">
        <v>45831</v>
      </c>
      <c r="G13" s="57">
        <v>45834</v>
      </c>
      <c r="H13" s="2">
        <v>4</v>
      </c>
      <c r="I13" s="2" t="s">
        <v>54</v>
      </c>
      <c r="J13" s="2" t="s">
        <v>65</v>
      </c>
      <c r="L13" s="2">
        <v>814</v>
      </c>
      <c r="O13" s="2">
        <v>230</v>
      </c>
      <c r="P13" s="2">
        <v>620</v>
      </c>
      <c r="S13" s="19">
        <f t="shared" si="1"/>
        <v>850</v>
      </c>
    </row>
    <row r="14" spans="1:21" ht="28.8" x14ac:dyDescent="0.3">
      <c r="A14" s="2" t="s">
        <v>242</v>
      </c>
      <c r="B14" s="2" t="s">
        <v>31</v>
      </c>
      <c r="C14" s="2" t="s">
        <v>292</v>
      </c>
      <c r="E14" s="1" t="s">
        <v>293</v>
      </c>
      <c r="F14" s="57">
        <v>45869</v>
      </c>
      <c r="G14" s="57">
        <v>45870</v>
      </c>
      <c r="H14" s="2">
        <v>2</v>
      </c>
      <c r="O14" s="2">
        <v>115</v>
      </c>
      <c r="S14" s="19">
        <f t="shared" si="1"/>
        <v>115</v>
      </c>
    </row>
    <row r="15" spans="1:21" x14ac:dyDescent="0.3">
      <c r="A15" s="2" t="s">
        <v>187</v>
      </c>
      <c r="B15" s="2" t="s">
        <v>30</v>
      </c>
      <c r="C15" s="2" t="s">
        <v>294</v>
      </c>
      <c r="E15" s="57">
        <v>45887</v>
      </c>
      <c r="F15" s="57">
        <v>45887</v>
      </c>
      <c r="G15" s="57">
        <v>45887</v>
      </c>
      <c r="H15" s="2">
        <v>1</v>
      </c>
      <c r="I15" s="2" t="s">
        <v>54</v>
      </c>
      <c r="J15" s="2" t="s">
        <v>55</v>
      </c>
      <c r="O15" s="2">
        <v>57.5</v>
      </c>
      <c r="S15" s="19">
        <f t="shared" si="1"/>
        <v>57.5</v>
      </c>
    </row>
    <row r="16" spans="1:21" x14ac:dyDescent="0.3">
      <c r="A16" s="2" t="s">
        <v>295</v>
      </c>
      <c r="B16" s="2" t="s">
        <v>31</v>
      </c>
      <c r="C16" s="2" t="s">
        <v>296</v>
      </c>
      <c r="E16" s="2" t="s">
        <v>297</v>
      </c>
      <c r="F16" s="57">
        <v>45937</v>
      </c>
      <c r="G16" s="57">
        <v>45940</v>
      </c>
      <c r="H16" s="2">
        <v>4</v>
      </c>
      <c r="O16" s="2">
        <v>230</v>
      </c>
      <c r="P16" s="2">
        <v>1015</v>
      </c>
      <c r="S16" s="19">
        <f t="shared" si="1"/>
        <v>1245</v>
      </c>
    </row>
    <row r="17" spans="1:19" x14ac:dyDescent="0.3">
      <c r="A17" s="2" t="s">
        <v>298</v>
      </c>
      <c r="B17" s="2" t="s">
        <v>31</v>
      </c>
      <c r="C17" s="2" t="s">
        <v>296</v>
      </c>
      <c r="E17" s="2" t="s">
        <v>297</v>
      </c>
      <c r="F17" s="57">
        <v>45937</v>
      </c>
      <c r="G17" s="57">
        <v>45940</v>
      </c>
      <c r="H17" s="2">
        <v>4</v>
      </c>
      <c r="O17" s="2">
        <v>230</v>
      </c>
      <c r="P17" s="2">
        <v>1015</v>
      </c>
      <c r="S17" s="19">
        <f t="shared" si="1"/>
        <v>1245</v>
      </c>
    </row>
    <row r="18" spans="1:19" x14ac:dyDescent="0.3">
      <c r="A18" s="2" t="s">
        <v>299</v>
      </c>
      <c r="B18" s="2" t="s">
        <v>31</v>
      </c>
      <c r="C18" s="2" t="s">
        <v>296</v>
      </c>
      <c r="E18" s="2" t="s">
        <v>297</v>
      </c>
      <c r="F18" s="57">
        <v>45937</v>
      </c>
      <c r="G18" s="57">
        <v>45940</v>
      </c>
      <c r="H18" s="2">
        <v>4</v>
      </c>
      <c r="O18" s="2">
        <v>230</v>
      </c>
      <c r="P18" s="2">
        <v>1015</v>
      </c>
      <c r="S18" s="19">
        <f t="shared" si="1"/>
        <v>1245</v>
      </c>
    </row>
    <row r="19" spans="1:19" x14ac:dyDescent="0.3">
      <c r="A19" s="2" t="s">
        <v>244</v>
      </c>
      <c r="B19" s="2" t="s">
        <v>31</v>
      </c>
      <c r="C19" s="2" t="s">
        <v>345</v>
      </c>
      <c r="E19" s="2" t="s">
        <v>346</v>
      </c>
      <c r="F19" s="57">
        <v>45953</v>
      </c>
      <c r="G19" s="57">
        <v>45955</v>
      </c>
      <c r="H19" s="2">
        <v>3</v>
      </c>
      <c r="I19" s="2" t="s">
        <v>54</v>
      </c>
      <c r="O19" s="2">
        <v>172.5</v>
      </c>
      <c r="S19" s="19">
        <f t="shared" si="1"/>
        <v>172.5</v>
      </c>
    </row>
    <row r="20" spans="1:19" x14ac:dyDescent="0.3">
      <c r="A20" s="2" t="s">
        <v>347</v>
      </c>
      <c r="B20" s="2" t="s">
        <v>31</v>
      </c>
      <c r="C20" s="2" t="s">
        <v>345</v>
      </c>
      <c r="E20" s="2" t="s">
        <v>346</v>
      </c>
      <c r="F20" s="57">
        <v>45953</v>
      </c>
      <c r="G20" s="57">
        <v>45955</v>
      </c>
      <c r="H20" s="2">
        <v>3</v>
      </c>
      <c r="I20" s="2" t="s">
        <v>54</v>
      </c>
      <c r="O20" s="2">
        <v>172.5</v>
      </c>
      <c r="S20" s="19">
        <f t="shared" si="1"/>
        <v>172.5</v>
      </c>
    </row>
    <row r="21" spans="1:19" ht="28.8" x14ac:dyDescent="0.3">
      <c r="A21" s="2" t="s">
        <v>347</v>
      </c>
      <c r="B21" s="2" t="s">
        <v>31</v>
      </c>
      <c r="C21" s="2" t="s">
        <v>348</v>
      </c>
      <c r="E21" s="1" t="s">
        <v>349</v>
      </c>
      <c r="F21" s="57">
        <v>45960</v>
      </c>
      <c r="G21" s="57">
        <v>45962</v>
      </c>
      <c r="H21" s="2">
        <v>3</v>
      </c>
      <c r="I21" s="2" t="s">
        <v>54</v>
      </c>
      <c r="O21" s="2">
        <v>172.5</v>
      </c>
      <c r="S21" s="19">
        <f t="shared" si="1"/>
        <v>172.5</v>
      </c>
    </row>
    <row r="22" spans="1:19" ht="28.8" x14ac:dyDescent="0.3">
      <c r="A22" s="2" t="s">
        <v>244</v>
      </c>
      <c r="B22" s="2" t="s">
        <v>31</v>
      </c>
      <c r="C22" s="2" t="s">
        <v>348</v>
      </c>
      <c r="E22" s="1" t="s">
        <v>349</v>
      </c>
      <c r="F22" s="57">
        <v>45960</v>
      </c>
      <c r="G22" s="57">
        <v>45962</v>
      </c>
      <c r="H22" s="2">
        <v>3</v>
      </c>
      <c r="I22" s="2" t="s">
        <v>54</v>
      </c>
      <c r="O22" s="2">
        <v>172.5</v>
      </c>
      <c r="S22" s="19">
        <f t="shared" si="1"/>
        <v>172.5</v>
      </c>
    </row>
    <row r="23" spans="1:19" ht="28.8" x14ac:dyDescent="0.3">
      <c r="A23" s="2" t="s">
        <v>350</v>
      </c>
      <c r="B23" s="2" t="s">
        <v>31</v>
      </c>
      <c r="C23" s="2" t="s">
        <v>348</v>
      </c>
      <c r="E23" s="1" t="s">
        <v>349</v>
      </c>
      <c r="F23" s="57">
        <v>45960</v>
      </c>
      <c r="G23" s="57">
        <v>45962</v>
      </c>
      <c r="H23" s="2">
        <v>3</v>
      </c>
      <c r="I23" s="2" t="s">
        <v>54</v>
      </c>
      <c r="O23" s="2">
        <v>172.5</v>
      </c>
      <c r="S23" s="19">
        <f t="shared" si="1"/>
        <v>172.5</v>
      </c>
    </row>
    <row r="24" spans="1:19" x14ac:dyDescent="0.3">
      <c r="S24" s="19">
        <f t="shared" si="1"/>
        <v>0</v>
      </c>
    </row>
    <row r="25" spans="1:19" x14ac:dyDescent="0.3">
      <c r="S25" s="19">
        <f t="shared" si="1"/>
        <v>0</v>
      </c>
    </row>
    <row r="26" spans="1:19" x14ac:dyDescent="0.3">
      <c r="S26" s="19">
        <f t="shared" si="1"/>
        <v>0</v>
      </c>
    </row>
    <row r="27" spans="1:19" x14ac:dyDescent="0.3">
      <c r="S27" s="19">
        <f t="shared" si="1"/>
        <v>0</v>
      </c>
    </row>
    <row r="28" spans="1:19" x14ac:dyDescent="0.3">
      <c r="S28" s="19">
        <f t="shared" si="1"/>
        <v>0</v>
      </c>
    </row>
    <row r="29" spans="1:19" x14ac:dyDescent="0.3">
      <c r="S29" s="19">
        <f t="shared" si="1"/>
        <v>0</v>
      </c>
    </row>
    <row r="30" spans="1:19" x14ac:dyDescent="0.3">
      <c r="S30" s="19">
        <f t="shared" si="1"/>
        <v>0</v>
      </c>
    </row>
    <row r="31" spans="1:19" x14ac:dyDescent="0.3">
      <c r="S31" s="19">
        <f t="shared" si="1"/>
        <v>0</v>
      </c>
    </row>
    <row r="32" spans="1:19" x14ac:dyDescent="0.3">
      <c r="S32" s="19">
        <f t="shared" si="1"/>
        <v>0</v>
      </c>
    </row>
    <row r="33" spans="19:19" x14ac:dyDescent="0.3">
      <c r="S33" s="19">
        <f t="shared" si="1"/>
        <v>0</v>
      </c>
    </row>
    <row r="34" spans="19:19" x14ac:dyDescent="0.3">
      <c r="S34" s="19">
        <f t="shared" si="1"/>
        <v>0</v>
      </c>
    </row>
    <row r="35" spans="19:19" x14ac:dyDescent="0.3">
      <c r="S35" s="19">
        <f t="shared" si="1"/>
        <v>0</v>
      </c>
    </row>
    <row r="36" spans="19:19" x14ac:dyDescent="0.3">
      <c r="S36" s="19">
        <f t="shared" si="1"/>
        <v>0</v>
      </c>
    </row>
    <row r="37" spans="19:19" x14ac:dyDescent="0.3">
      <c r="S37" s="19">
        <f t="shared" si="1"/>
        <v>0</v>
      </c>
    </row>
    <row r="38" spans="19:19" x14ac:dyDescent="0.3">
      <c r="S38" s="19">
        <f t="shared" si="1"/>
        <v>0</v>
      </c>
    </row>
    <row r="39" spans="19:19" x14ac:dyDescent="0.3">
      <c r="S39" s="19">
        <f t="shared" si="1"/>
        <v>0</v>
      </c>
    </row>
    <row r="40" spans="19:19" x14ac:dyDescent="0.3">
      <c r="S40" s="19">
        <f t="shared" si="1"/>
        <v>0</v>
      </c>
    </row>
    <row r="41" spans="19:19" x14ac:dyDescent="0.3">
      <c r="S41" s="19">
        <f t="shared" si="1"/>
        <v>0</v>
      </c>
    </row>
    <row r="42" spans="19:19" x14ac:dyDescent="0.3">
      <c r="S42" s="19">
        <f t="shared" si="1"/>
        <v>0</v>
      </c>
    </row>
    <row r="43" spans="19:19" x14ac:dyDescent="0.3">
      <c r="S43" s="19">
        <f t="shared" si="1"/>
        <v>0</v>
      </c>
    </row>
    <row r="44" spans="19:19" x14ac:dyDescent="0.3">
      <c r="S44" s="19">
        <f t="shared" si="1"/>
        <v>0</v>
      </c>
    </row>
    <row r="45" spans="19:19" x14ac:dyDescent="0.3">
      <c r="S45" s="19">
        <f t="shared" si="1"/>
        <v>0</v>
      </c>
    </row>
    <row r="46" spans="19:19" x14ac:dyDescent="0.3">
      <c r="S46" s="19">
        <f t="shared" si="1"/>
        <v>0</v>
      </c>
    </row>
    <row r="47" spans="19:19" x14ac:dyDescent="0.3">
      <c r="S47" s="19">
        <f t="shared" si="1"/>
        <v>0</v>
      </c>
    </row>
    <row r="48" spans="19:19" x14ac:dyDescent="0.3">
      <c r="S48" s="19">
        <f t="shared" si="1"/>
        <v>0</v>
      </c>
    </row>
    <row r="49" spans="19:19" x14ac:dyDescent="0.3">
      <c r="S49" s="19">
        <f t="shared" si="1"/>
        <v>0</v>
      </c>
    </row>
    <row r="50" spans="19:19" x14ac:dyDescent="0.3">
      <c r="S50" s="19">
        <f t="shared" si="1"/>
        <v>0</v>
      </c>
    </row>
    <row r="51" spans="19:19" x14ac:dyDescent="0.3">
      <c r="S51" s="19">
        <f t="shared" si="1"/>
        <v>0</v>
      </c>
    </row>
    <row r="52" spans="19:19" x14ac:dyDescent="0.3">
      <c r="S52" s="19">
        <f t="shared" si="1"/>
        <v>0</v>
      </c>
    </row>
    <row r="53" spans="19:19" x14ac:dyDescent="0.3">
      <c r="S53" s="19">
        <f t="shared" si="1"/>
        <v>0</v>
      </c>
    </row>
    <row r="54" spans="19:19" x14ac:dyDescent="0.3">
      <c r="S54" s="19">
        <f t="shared" si="1"/>
        <v>0</v>
      </c>
    </row>
    <row r="55" spans="19:19" x14ac:dyDescent="0.3">
      <c r="S55" s="19">
        <f t="shared" si="1"/>
        <v>0</v>
      </c>
    </row>
    <row r="56" spans="19:19" x14ac:dyDescent="0.3">
      <c r="S56" s="19">
        <f t="shared" si="1"/>
        <v>0</v>
      </c>
    </row>
    <row r="57" spans="19:19" x14ac:dyDescent="0.3">
      <c r="S57" s="19">
        <f t="shared" si="1"/>
        <v>0</v>
      </c>
    </row>
    <row r="58" spans="19:19" x14ac:dyDescent="0.3">
      <c r="S58" s="19">
        <f t="shared" si="1"/>
        <v>0</v>
      </c>
    </row>
    <row r="59" spans="19:19" x14ac:dyDescent="0.3">
      <c r="S59" s="19">
        <f t="shared" si="1"/>
        <v>0</v>
      </c>
    </row>
    <row r="60" spans="19:19" x14ac:dyDescent="0.3">
      <c r="S60" s="19">
        <f t="shared" si="1"/>
        <v>0</v>
      </c>
    </row>
    <row r="61" spans="19:19" x14ac:dyDescent="0.3">
      <c r="S61" s="19">
        <f t="shared" si="1"/>
        <v>0</v>
      </c>
    </row>
    <row r="62" spans="19:19" x14ac:dyDescent="0.3">
      <c r="S62" s="19">
        <f t="shared" si="1"/>
        <v>0</v>
      </c>
    </row>
    <row r="63" spans="19:19" x14ac:dyDescent="0.3">
      <c r="S63" s="19">
        <f t="shared" si="1"/>
        <v>0</v>
      </c>
    </row>
    <row r="64" spans="19:19" x14ac:dyDescent="0.3">
      <c r="S64" s="19">
        <f t="shared" si="1"/>
        <v>0</v>
      </c>
    </row>
    <row r="65" spans="19:19" x14ac:dyDescent="0.3">
      <c r="S65" s="19">
        <f t="shared" si="1"/>
        <v>0</v>
      </c>
    </row>
    <row r="66" spans="19:19" x14ac:dyDescent="0.3">
      <c r="S66" s="19">
        <f t="shared" si="1"/>
        <v>0</v>
      </c>
    </row>
    <row r="67" spans="19:19" x14ac:dyDescent="0.3">
      <c r="S67" s="19">
        <f t="shared" si="1"/>
        <v>0</v>
      </c>
    </row>
    <row r="68" spans="19:19" x14ac:dyDescent="0.3">
      <c r="S68" s="19">
        <f t="shared" si="1"/>
        <v>0</v>
      </c>
    </row>
    <row r="69" spans="19:19" x14ac:dyDescent="0.3">
      <c r="S69" s="19">
        <f t="shared" si="1"/>
        <v>0</v>
      </c>
    </row>
    <row r="70" spans="19:19" x14ac:dyDescent="0.3">
      <c r="S70" s="19">
        <f t="shared" si="1"/>
        <v>0</v>
      </c>
    </row>
    <row r="71" spans="19:19" x14ac:dyDescent="0.3">
      <c r="S71" s="19">
        <f t="shared" ref="S71:S134" si="2">SUM(N71:R71)</f>
        <v>0</v>
      </c>
    </row>
    <row r="72" spans="19:19" x14ac:dyDescent="0.3">
      <c r="S72" s="19">
        <f t="shared" si="2"/>
        <v>0</v>
      </c>
    </row>
    <row r="73" spans="19:19" x14ac:dyDescent="0.3">
      <c r="S73" s="19">
        <f t="shared" si="2"/>
        <v>0</v>
      </c>
    </row>
    <row r="74" spans="19:19" x14ac:dyDescent="0.3">
      <c r="S74" s="19">
        <f t="shared" si="2"/>
        <v>0</v>
      </c>
    </row>
    <row r="75" spans="19:19" x14ac:dyDescent="0.3">
      <c r="S75" s="19">
        <f t="shared" si="2"/>
        <v>0</v>
      </c>
    </row>
    <row r="76" spans="19:19" x14ac:dyDescent="0.3">
      <c r="S76" s="19">
        <f t="shared" si="2"/>
        <v>0</v>
      </c>
    </row>
    <row r="77" spans="19:19" x14ac:dyDescent="0.3">
      <c r="S77" s="19">
        <f t="shared" si="2"/>
        <v>0</v>
      </c>
    </row>
    <row r="78" spans="19:19" x14ac:dyDescent="0.3">
      <c r="S78" s="19">
        <f t="shared" si="2"/>
        <v>0</v>
      </c>
    </row>
    <row r="79" spans="19:19" x14ac:dyDescent="0.3">
      <c r="S79" s="19">
        <f t="shared" si="2"/>
        <v>0</v>
      </c>
    </row>
    <row r="80" spans="19:19" x14ac:dyDescent="0.3">
      <c r="S80" s="19">
        <f t="shared" si="2"/>
        <v>0</v>
      </c>
    </row>
    <row r="81" spans="19:19" x14ac:dyDescent="0.3">
      <c r="S81" s="19">
        <f t="shared" si="2"/>
        <v>0</v>
      </c>
    </row>
    <row r="82" spans="19:19" x14ac:dyDescent="0.3">
      <c r="S82" s="19">
        <f t="shared" si="2"/>
        <v>0</v>
      </c>
    </row>
    <row r="83" spans="19:19" x14ac:dyDescent="0.3">
      <c r="S83" s="19">
        <f t="shared" si="2"/>
        <v>0</v>
      </c>
    </row>
    <row r="84" spans="19:19" x14ac:dyDescent="0.3">
      <c r="S84" s="19">
        <f t="shared" si="2"/>
        <v>0</v>
      </c>
    </row>
    <row r="85" spans="19:19" x14ac:dyDescent="0.3">
      <c r="S85" s="19">
        <f t="shared" si="2"/>
        <v>0</v>
      </c>
    </row>
    <row r="86" spans="19:19" x14ac:dyDescent="0.3">
      <c r="S86" s="19">
        <f t="shared" si="2"/>
        <v>0</v>
      </c>
    </row>
    <row r="87" spans="19:19" x14ac:dyDescent="0.3">
      <c r="S87" s="19">
        <f t="shared" si="2"/>
        <v>0</v>
      </c>
    </row>
    <row r="88" spans="19:19" x14ac:dyDescent="0.3">
      <c r="S88" s="19">
        <f t="shared" si="2"/>
        <v>0</v>
      </c>
    </row>
    <row r="89" spans="19:19" x14ac:dyDescent="0.3">
      <c r="S89" s="19">
        <f t="shared" si="2"/>
        <v>0</v>
      </c>
    </row>
    <row r="90" spans="19:19" x14ac:dyDescent="0.3">
      <c r="S90" s="19">
        <f t="shared" si="2"/>
        <v>0</v>
      </c>
    </row>
    <row r="91" spans="19:19" x14ac:dyDescent="0.3">
      <c r="S91" s="19">
        <f t="shared" si="2"/>
        <v>0</v>
      </c>
    </row>
    <row r="92" spans="19:19" x14ac:dyDescent="0.3">
      <c r="S92" s="19">
        <f t="shared" si="2"/>
        <v>0</v>
      </c>
    </row>
    <row r="93" spans="19:19" x14ac:dyDescent="0.3">
      <c r="S93" s="19">
        <f t="shared" si="2"/>
        <v>0</v>
      </c>
    </row>
    <row r="94" spans="19:19" x14ac:dyDescent="0.3">
      <c r="S94" s="19">
        <f t="shared" si="2"/>
        <v>0</v>
      </c>
    </row>
    <row r="95" spans="19:19" x14ac:dyDescent="0.3">
      <c r="S95" s="19">
        <f t="shared" si="2"/>
        <v>0</v>
      </c>
    </row>
    <row r="96" spans="19:19" x14ac:dyDescent="0.3">
      <c r="S96" s="19">
        <f t="shared" si="2"/>
        <v>0</v>
      </c>
    </row>
    <row r="97" spans="19:19" x14ac:dyDescent="0.3">
      <c r="S97" s="19">
        <f t="shared" si="2"/>
        <v>0</v>
      </c>
    </row>
    <row r="98" spans="19:19" x14ac:dyDescent="0.3">
      <c r="S98" s="19">
        <f t="shared" si="2"/>
        <v>0</v>
      </c>
    </row>
    <row r="99" spans="19:19" x14ac:dyDescent="0.3">
      <c r="S99" s="19">
        <f t="shared" si="2"/>
        <v>0</v>
      </c>
    </row>
    <row r="100" spans="19:19" x14ac:dyDescent="0.3">
      <c r="S100" s="19">
        <f t="shared" si="2"/>
        <v>0</v>
      </c>
    </row>
    <row r="101" spans="19:19" x14ac:dyDescent="0.3">
      <c r="S101" s="19">
        <f t="shared" si="2"/>
        <v>0</v>
      </c>
    </row>
    <row r="102" spans="19:19" x14ac:dyDescent="0.3">
      <c r="S102" s="19">
        <f t="shared" si="2"/>
        <v>0</v>
      </c>
    </row>
    <row r="103" spans="19:19" x14ac:dyDescent="0.3">
      <c r="S103" s="19">
        <f t="shared" si="2"/>
        <v>0</v>
      </c>
    </row>
    <row r="104" spans="19:19" x14ac:dyDescent="0.3">
      <c r="S104" s="19">
        <f t="shared" si="2"/>
        <v>0</v>
      </c>
    </row>
    <row r="105" spans="19:19" x14ac:dyDescent="0.3">
      <c r="S105" s="19">
        <f t="shared" si="2"/>
        <v>0</v>
      </c>
    </row>
    <row r="106" spans="19:19" x14ac:dyDescent="0.3">
      <c r="S106" s="19">
        <f t="shared" si="2"/>
        <v>0</v>
      </c>
    </row>
    <row r="107" spans="19:19" x14ac:dyDescent="0.3">
      <c r="S107" s="19">
        <f t="shared" si="2"/>
        <v>0</v>
      </c>
    </row>
    <row r="108" spans="19:19" x14ac:dyDescent="0.3">
      <c r="S108" s="19">
        <f t="shared" si="2"/>
        <v>0</v>
      </c>
    </row>
    <row r="109" spans="19:19" x14ac:dyDescent="0.3">
      <c r="S109" s="19">
        <f t="shared" si="2"/>
        <v>0</v>
      </c>
    </row>
    <row r="110" spans="19:19" x14ac:dyDescent="0.3">
      <c r="S110" s="19">
        <f t="shared" si="2"/>
        <v>0</v>
      </c>
    </row>
    <row r="111" spans="19:19" x14ac:dyDescent="0.3">
      <c r="S111" s="19">
        <f t="shared" si="2"/>
        <v>0</v>
      </c>
    </row>
    <row r="112" spans="19:19" x14ac:dyDescent="0.3">
      <c r="S112" s="19">
        <f t="shared" si="2"/>
        <v>0</v>
      </c>
    </row>
    <row r="113" spans="19:19" x14ac:dyDescent="0.3">
      <c r="S113" s="19">
        <f t="shared" si="2"/>
        <v>0</v>
      </c>
    </row>
    <row r="114" spans="19:19" x14ac:dyDescent="0.3">
      <c r="S114" s="19">
        <f t="shared" si="2"/>
        <v>0</v>
      </c>
    </row>
    <row r="115" spans="19:19" x14ac:dyDescent="0.3">
      <c r="S115" s="19">
        <f t="shared" si="2"/>
        <v>0</v>
      </c>
    </row>
    <row r="116" spans="19:19" x14ac:dyDescent="0.3">
      <c r="S116" s="19">
        <f t="shared" si="2"/>
        <v>0</v>
      </c>
    </row>
    <row r="117" spans="19:19" x14ac:dyDescent="0.3">
      <c r="S117" s="19">
        <f t="shared" si="2"/>
        <v>0</v>
      </c>
    </row>
    <row r="118" spans="19:19" x14ac:dyDescent="0.3">
      <c r="S118" s="19">
        <f t="shared" si="2"/>
        <v>0</v>
      </c>
    </row>
    <row r="119" spans="19:19" x14ac:dyDescent="0.3">
      <c r="S119" s="19">
        <f t="shared" si="2"/>
        <v>0</v>
      </c>
    </row>
    <row r="120" spans="19:19" x14ac:dyDescent="0.3">
      <c r="S120" s="19">
        <f t="shared" si="2"/>
        <v>0</v>
      </c>
    </row>
    <row r="121" spans="19:19" x14ac:dyDescent="0.3">
      <c r="S121" s="19">
        <f t="shared" si="2"/>
        <v>0</v>
      </c>
    </row>
    <row r="122" spans="19:19" x14ac:dyDescent="0.3">
      <c r="S122" s="19">
        <f t="shared" si="2"/>
        <v>0</v>
      </c>
    </row>
    <row r="123" spans="19:19" x14ac:dyDescent="0.3">
      <c r="S123" s="19">
        <f t="shared" si="2"/>
        <v>0</v>
      </c>
    </row>
    <row r="124" spans="19:19" x14ac:dyDescent="0.3">
      <c r="S124" s="19">
        <f t="shared" si="2"/>
        <v>0</v>
      </c>
    </row>
    <row r="125" spans="19:19" x14ac:dyDescent="0.3">
      <c r="S125" s="19">
        <f t="shared" si="2"/>
        <v>0</v>
      </c>
    </row>
    <row r="126" spans="19:19" x14ac:dyDescent="0.3">
      <c r="S126" s="19">
        <f t="shared" si="2"/>
        <v>0</v>
      </c>
    </row>
    <row r="127" spans="19:19" x14ac:dyDescent="0.3">
      <c r="S127" s="19">
        <f t="shared" si="2"/>
        <v>0</v>
      </c>
    </row>
    <row r="128" spans="19:19" x14ac:dyDescent="0.3">
      <c r="S128" s="19">
        <f t="shared" si="2"/>
        <v>0</v>
      </c>
    </row>
    <row r="129" spans="19:19" x14ac:dyDescent="0.3">
      <c r="S129" s="19">
        <f t="shared" si="2"/>
        <v>0</v>
      </c>
    </row>
    <row r="130" spans="19:19" x14ac:dyDescent="0.3">
      <c r="S130" s="19">
        <f t="shared" si="2"/>
        <v>0</v>
      </c>
    </row>
    <row r="131" spans="19:19" x14ac:dyDescent="0.3">
      <c r="S131" s="19">
        <f t="shared" si="2"/>
        <v>0</v>
      </c>
    </row>
    <row r="132" spans="19:19" x14ac:dyDescent="0.3">
      <c r="S132" s="19">
        <f t="shared" si="2"/>
        <v>0</v>
      </c>
    </row>
    <row r="133" spans="19:19" x14ac:dyDescent="0.3">
      <c r="S133" s="19">
        <f t="shared" si="2"/>
        <v>0</v>
      </c>
    </row>
    <row r="134" spans="19:19" x14ac:dyDescent="0.3">
      <c r="S134" s="19">
        <f t="shared" si="2"/>
        <v>0</v>
      </c>
    </row>
    <row r="135" spans="19:19" x14ac:dyDescent="0.3">
      <c r="S135" s="19">
        <f t="shared" ref="S135:S198" si="3">SUM(N135:R135)</f>
        <v>0</v>
      </c>
    </row>
    <row r="136" spans="19:19" x14ac:dyDescent="0.3">
      <c r="S136" s="19">
        <f t="shared" si="3"/>
        <v>0</v>
      </c>
    </row>
    <row r="137" spans="19:19" x14ac:dyDescent="0.3">
      <c r="S137" s="19">
        <f t="shared" si="3"/>
        <v>0</v>
      </c>
    </row>
    <row r="138" spans="19:19" x14ac:dyDescent="0.3">
      <c r="S138" s="19">
        <f t="shared" si="3"/>
        <v>0</v>
      </c>
    </row>
    <row r="139" spans="19:19" x14ac:dyDescent="0.3">
      <c r="S139" s="19">
        <f t="shared" si="3"/>
        <v>0</v>
      </c>
    </row>
    <row r="140" spans="19:19" x14ac:dyDescent="0.3">
      <c r="S140" s="19">
        <f t="shared" si="3"/>
        <v>0</v>
      </c>
    </row>
    <row r="141" spans="19:19" x14ac:dyDescent="0.3">
      <c r="S141" s="19">
        <f t="shared" si="3"/>
        <v>0</v>
      </c>
    </row>
    <row r="142" spans="19:19" x14ac:dyDescent="0.3">
      <c r="S142" s="19">
        <f t="shared" si="3"/>
        <v>0</v>
      </c>
    </row>
    <row r="143" spans="19:19" x14ac:dyDescent="0.3">
      <c r="S143" s="19">
        <f t="shared" si="3"/>
        <v>0</v>
      </c>
    </row>
    <row r="144" spans="19:19" x14ac:dyDescent="0.3">
      <c r="S144" s="19">
        <f t="shared" si="3"/>
        <v>0</v>
      </c>
    </row>
    <row r="145" spans="19:19" x14ac:dyDescent="0.3">
      <c r="S145" s="19">
        <f t="shared" si="3"/>
        <v>0</v>
      </c>
    </row>
    <row r="146" spans="19:19" x14ac:dyDescent="0.3">
      <c r="S146" s="19">
        <f t="shared" si="3"/>
        <v>0</v>
      </c>
    </row>
    <row r="147" spans="19:19" x14ac:dyDescent="0.3">
      <c r="S147" s="19">
        <f t="shared" si="3"/>
        <v>0</v>
      </c>
    </row>
    <row r="148" spans="19:19" x14ac:dyDescent="0.3">
      <c r="S148" s="19">
        <f t="shared" si="3"/>
        <v>0</v>
      </c>
    </row>
    <row r="149" spans="19:19" x14ac:dyDescent="0.3">
      <c r="S149" s="19">
        <f t="shared" si="3"/>
        <v>0</v>
      </c>
    </row>
    <row r="150" spans="19:19" x14ac:dyDescent="0.3">
      <c r="S150" s="19">
        <f t="shared" si="3"/>
        <v>0</v>
      </c>
    </row>
    <row r="151" spans="19:19" x14ac:dyDescent="0.3">
      <c r="S151" s="19">
        <f t="shared" si="3"/>
        <v>0</v>
      </c>
    </row>
    <row r="152" spans="19:19" x14ac:dyDescent="0.3">
      <c r="S152" s="19">
        <f t="shared" si="3"/>
        <v>0</v>
      </c>
    </row>
    <row r="153" spans="19:19" x14ac:dyDescent="0.3">
      <c r="S153" s="19">
        <f t="shared" si="3"/>
        <v>0</v>
      </c>
    </row>
    <row r="154" spans="19:19" x14ac:dyDescent="0.3">
      <c r="S154" s="19">
        <f t="shared" si="3"/>
        <v>0</v>
      </c>
    </row>
    <row r="155" spans="19:19" x14ac:dyDescent="0.3">
      <c r="S155" s="19">
        <f t="shared" si="3"/>
        <v>0</v>
      </c>
    </row>
    <row r="156" spans="19:19" x14ac:dyDescent="0.3">
      <c r="S156" s="19">
        <f t="shared" si="3"/>
        <v>0</v>
      </c>
    </row>
    <row r="157" spans="19:19" x14ac:dyDescent="0.3">
      <c r="S157" s="19">
        <f t="shared" si="3"/>
        <v>0</v>
      </c>
    </row>
    <row r="158" spans="19:19" x14ac:dyDescent="0.3">
      <c r="S158" s="19">
        <f t="shared" si="3"/>
        <v>0</v>
      </c>
    </row>
    <row r="159" spans="19:19" x14ac:dyDescent="0.3">
      <c r="S159" s="19">
        <f t="shared" si="3"/>
        <v>0</v>
      </c>
    </row>
    <row r="160" spans="19:19" x14ac:dyDescent="0.3">
      <c r="S160" s="19">
        <f t="shared" si="3"/>
        <v>0</v>
      </c>
    </row>
    <row r="161" spans="19:19" x14ac:dyDescent="0.3">
      <c r="S161" s="19">
        <f t="shared" si="3"/>
        <v>0</v>
      </c>
    </row>
    <row r="162" spans="19:19" x14ac:dyDescent="0.3">
      <c r="S162" s="19">
        <f t="shared" si="3"/>
        <v>0</v>
      </c>
    </row>
    <row r="163" spans="19:19" x14ac:dyDescent="0.3">
      <c r="S163" s="19">
        <f t="shared" si="3"/>
        <v>0</v>
      </c>
    </row>
    <row r="164" spans="19:19" x14ac:dyDescent="0.3">
      <c r="S164" s="19">
        <f t="shared" si="3"/>
        <v>0</v>
      </c>
    </row>
    <row r="165" spans="19:19" x14ac:dyDescent="0.3">
      <c r="S165" s="19">
        <f t="shared" si="3"/>
        <v>0</v>
      </c>
    </row>
    <row r="166" spans="19:19" x14ac:dyDescent="0.3">
      <c r="S166" s="19">
        <f t="shared" si="3"/>
        <v>0</v>
      </c>
    </row>
    <row r="167" spans="19:19" x14ac:dyDescent="0.3">
      <c r="S167" s="19">
        <f t="shared" si="3"/>
        <v>0</v>
      </c>
    </row>
    <row r="168" spans="19:19" x14ac:dyDescent="0.3">
      <c r="S168" s="19">
        <f t="shared" si="3"/>
        <v>0</v>
      </c>
    </row>
    <row r="169" spans="19:19" x14ac:dyDescent="0.3">
      <c r="S169" s="19">
        <f t="shared" si="3"/>
        <v>0</v>
      </c>
    </row>
    <row r="170" spans="19:19" x14ac:dyDescent="0.3">
      <c r="S170" s="19">
        <f t="shared" si="3"/>
        <v>0</v>
      </c>
    </row>
    <row r="171" spans="19:19" x14ac:dyDescent="0.3">
      <c r="S171" s="19">
        <f t="shared" si="3"/>
        <v>0</v>
      </c>
    </row>
    <row r="172" spans="19:19" x14ac:dyDescent="0.3">
      <c r="S172" s="19">
        <f t="shared" si="3"/>
        <v>0</v>
      </c>
    </row>
    <row r="173" spans="19:19" x14ac:dyDescent="0.3">
      <c r="S173" s="19">
        <f t="shared" si="3"/>
        <v>0</v>
      </c>
    </row>
    <row r="174" spans="19:19" x14ac:dyDescent="0.3">
      <c r="S174" s="19">
        <f t="shared" si="3"/>
        <v>0</v>
      </c>
    </row>
    <row r="175" spans="19:19" x14ac:dyDescent="0.3">
      <c r="S175" s="19">
        <f t="shared" si="3"/>
        <v>0</v>
      </c>
    </row>
    <row r="176" spans="19:19" x14ac:dyDescent="0.3">
      <c r="S176" s="19">
        <f t="shared" si="3"/>
        <v>0</v>
      </c>
    </row>
    <row r="177" spans="19:19" x14ac:dyDescent="0.3">
      <c r="S177" s="19">
        <f t="shared" si="3"/>
        <v>0</v>
      </c>
    </row>
    <row r="178" spans="19:19" x14ac:dyDescent="0.3">
      <c r="S178" s="19">
        <f t="shared" si="3"/>
        <v>0</v>
      </c>
    </row>
    <row r="179" spans="19:19" x14ac:dyDescent="0.3">
      <c r="S179" s="19">
        <f t="shared" si="3"/>
        <v>0</v>
      </c>
    </row>
    <row r="180" spans="19:19" x14ac:dyDescent="0.3">
      <c r="S180" s="19">
        <f t="shared" si="3"/>
        <v>0</v>
      </c>
    </row>
    <row r="181" spans="19:19" x14ac:dyDescent="0.3">
      <c r="S181" s="19">
        <f t="shared" si="3"/>
        <v>0</v>
      </c>
    </row>
    <row r="182" spans="19:19" x14ac:dyDescent="0.3">
      <c r="S182" s="19">
        <f t="shared" si="3"/>
        <v>0</v>
      </c>
    </row>
    <row r="183" spans="19:19" x14ac:dyDescent="0.3">
      <c r="S183" s="19">
        <f t="shared" si="3"/>
        <v>0</v>
      </c>
    </row>
    <row r="184" spans="19:19" x14ac:dyDescent="0.3">
      <c r="S184" s="19">
        <f t="shared" si="3"/>
        <v>0</v>
      </c>
    </row>
    <row r="185" spans="19:19" x14ac:dyDescent="0.3">
      <c r="S185" s="19">
        <f t="shared" si="3"/>
        <v>0</v>
      </c>
    </row>
    <row r="186" spans="19:19" x14ac:dyDescent="0.3">
      <c r="S186" s="19">
        <f t="shared" si="3"/>
        <v>0</v>
      </c>
    </row>
    <row r="187" spans="19:19" x14ac:dyDescent="0.3">
      <c r="S187" s="19">
        <f t="shared" si="3"/>
        <v>0</v>
      </c>
    </row>
    <row r="188" spans="19:19" x14ac:dyDescent="0.3">
      <c r="S188" s="19">
        <f t="shared" si="3"/>
        <v>0</v>
      </c>
    </row>
    <row r="189" spans="19:19" x14ac:dyDescent="0.3">
      <c r="S189" s="19">
        <f t="shared" si="3"/>
        <v>0</v>
      </c>
    </row>
    <row r="190" spans="19:19" x14ac:dyDescent="0.3">
      <c r="S190" s="19">
        <f t="shared" si="3"/>
        <v>0</v>
      </c>
    </row>
    <row r="191" spans="19:19" x14ac:dyDescent="0.3">
      <c r="S191" s="19">
        <f t="shared" si="3"/>
        <v>0</v>
      </c>
    </row>
    <row r="192" spans="19:19" x14ac:dyDescent="0.3">
      <c r="S192" s="19">
        <f t="shared" si="3"/>
        <v>0</v>
      </c>
    </row>
    <row r="193" spans="19:19" x14ac:dyDescent="0.3">
      <c r="S193" s="19">
        <f t="shared" si="3"/>
        <v>0</v>
      </c>
    </row>
    <row r="194" spans="19:19" x14ac:dyDescent="0.3">
      <c r="S194" s="19">
        <f t="shared" si="3"/>
        <v>0</v>
      </c>
    </row>
    <row r="195" spans="19:19" x14ac:dyDescent="0.3">
      <c r="S195" s="19">
        <f t="shared" si="3"/>
        <v>0</v>
      </c>
    </row>
    <row r="196" spans="19:19" x14ac:dyDescent="0.3">
      <c r="S196" s="19">
        <f t="shared" si="3"/>
        <v>0</v>
      </c>
    </row>
    <row r="197" spans="19:19" x14ac:dyDescent="0.3">
      <c r="S197" s="19">
        <f t="shared" si="3"/>
        <v>0</v>
      </c>
    </row>
    <row r="198" spans="19:19" x14ac:dyDescent="0.3">
      <c r="S198" s="19">
        <f t="shared" si="3"/>
        <v>0</v>
      </c>
    </row>
    <row r="199" spans="19:19" x14ac:dyDescent="0.3">
      <c r="S199" s="19">
        <f t="shared" ref="S199:S262" si="4">SUM(N199:R199)</f>
        <v>0</v>
      </c>
    </row>
    <row r="200" spans="19:19" x14ac:dyDescent="0.3">
      <c r="S200" s="19">
        <f t="shared" si="4"/>
        <v>0</v>
      </c>
    </row>
    <row r="201" spans="19:19" x14ac:dyDescent="0.3">
      <c r="S201" s="19">
        <f t="shared" si="4"/>
        <v>0</v>
      </c>
    </row>
    <row r="202" spans="19:19" x14ac:dyDescent="0.3">
      <c r="S202" s="19">
        <f t="shared" si="4"/>
        <v>0</v>
      </c>
    </row>
    <row r="203" spans="19:19" x14ac:dyDescent="0.3">
      <c r="S203" s="19">
        <f t="shared" si="4"/>
        <v>0</v>
      </c>
    </row>
    <row r="204" spans="19:19" x14ac:dyDescent="0.3">
      <c r="S204" s="19">
        <f t="shared" si="4"/>
        <v>0</v>
      </c>
    </row>
    <row r="205" spans="19:19" x14ac:dyDescent="0.3">
      <c r="S205" s="19">
        <f t="shared" si="4"/>
        <v>0</v>
      </c>
    </row>
    <row r="206" spans="19:19" x14ac:dyDescent="0.3">
      <c r="S206" s="19">
        <f t="shared" si="4"/>
        <v>0</v>
      </c>
    </row>
    <row r="207" spans="19:19" x14ac:dyDescent="0.3">
      <c r="S207" s="19">
        <f t="shared" si="4"/>
        <v>0</v>
      </c>
    </row>
    <row r="208" spans="19:19" x14ac:dyDescent="0.3">
      <c r="S208" s="19">
        <f t="shared" si="4"/>
        <v>0</v>
      </c>
    </row>
    <row r="209" spans="19:19" x14ac:dyDescent="0.3">
      <c r="S209" s="19">
        <f t="shared" si="4"/>
        <v>0</v>
      </c>
    </row>
    <row r="210" spans="19:19" x14ac:dyDescent="0.3">
      <c r="S210" s="19">
        <f t="shared" si="4"/>
        <v>0</v>
      </c>
    </row>
    <row r="211" spans="19:19" x14ac:dyDescent="0.3">
      <c r="S211" s="19">
        <f t="shared" si="4"/>
        <v>0</v>
      </c>
    </row>
    <row r="212" spans="19:19" x14ac:dyDescent="0.3">
      <c r="S212" s="19">
        <f t="shared" si="4"/>
        <v>0</v>
      </c>
    </row>
    <row r="213" spans="19:19" x14ac:dyDescent="0.3">
      <c r="S213" s="19">
        <f t="shared" si="4"/>
        <v>0</v>
      </c>
    </row>
    <row r="214" spans="19:19" x14ac:dyDescent="0.3">
      <c r="S214" s="19">
        <f t="shared" si="4"/>
        <v>0</v>
      </c>
    </row>
    <row r="215" spans="19:19" x14ac:dyDescent="0.3">
      <c r="S215" s="19">
        <f t="shared" si="4"/>
        <v>0</v>
      </c>
    </row>
    <row r="216" spans="19:19" x14ac:dyDescent="0.3">
      <c r="S216" s="19">
        <f t="shared" si="4"/>
        <v>0</v>
      </c>
    </row>
    <row r="217" spans="19:19" x14ac:dyDescent="0.3">
      <c r="S217" s="19">
        <f t="shared" si="4"/>
        <v>0</v>
      </c>
    </row>
    <row r="218" spans="19:19" x14ac:dyDescent="0.3">
      <c r="S218" s="19">
        <f t="shared" si="4"/>
        <v>0</v>
      </c>
    </row>
    <row r="219" spans="19:19" x14ac:dyDescent="0.3">
      <c r="S219" s="19">
        <f t="shared" si="4"/>
        <v>0</v>
      </c>
    </row>
    <row r="220" spans="19:19" x14ac:dyDescent="0.3">
      <c r="S220" s="19">
        <f t="shared" si="4"/>
        <v>0</v>
      </c>
    </row>
    <row r="221" spans="19:19" x14ac:dyDescent="0.3">
      <c r="S221" s="19">
        <f t="shared" si="4"/>
        <v>0</v>
      </c>
    </row>
    <row r="222" spans="19:19" x14ac:dyDescent="0.3">
      <c r="S222" s="19">
        <f t="shared" si="4"/>
        <v>0</v>
      </c>
    </row>
    <row r="223" spans="19:19" x14ac:dyDescent="0.3">
      <c r="S223" s="19">
        <f t="shared" si="4"/>
        <v>0</v>
      </c>
    </row>
    <row r="224" spans="19:19" x14ac:dyDescent="0.3">
      <c r="S224" s="19">
        <f t="shared" si="4"/>
        <v>0</v>
      </c>
    </row>
    <row r="225" spans="19:19" x14ac:dyDescent="0.3">
      <c r="S225" s="19">
        <f t="shared" si="4"/>
        <v>0</v>
      </c>
    </row>
    <row r="226" spans="19:19" x14ac:dyDescent="0.3">
      <c r="S226" s="19">
        <f t="shared" si="4"/>
        <v>0</v>
      </c>
    </row>
    <row r="227" spans="19:19" x14ac:dyDescent="0.3">
      <c r="S227" s="19">
        <f t="shared" si="4"/>
        <v>0</v>
      </c>
    </row>
    <row r="228" spans="19:19" x14ac:dyDescent="0.3">
      <c r="S228" s="19">
        <f t="shared" si="4"/>
        <v>0</v>
      </c>
    </row>
    <row r="229" spans="19:19" x14ac:dyDescent="0.3">
      <c r="S229" s="19">
        <f t="shared" si="4"/>
        <v>0</v>
      </c>
    </row>
    <row r="230" spans="19:19" x14ac:dyDescent="0.3">
      <c r="S230" s="19">
        <f t="shared" si="4"/>
        <v>0</v>
      </c>
    </row>
    <row r="231" spans="19:19" x14ac:dyDescent="0.3">
      <c r="S231" s="19">
        <f t="shared" si="4"/>
        <v>0</v>
      </c>
    </row>
    <row r="232" spans="19:19" x14ac:dyDescent="0.3">
      <c r="S232" s="19">
        <f t="shared" si="4"/>
        <v>0</v>
      </c>
    </row>
    <row r="233" spans="19:19" x14ac:dyDescent="0.3">
      <c r="S233" s="19">
        <f t="shared" si="4"/>
        <v>0</v>
      </c>
    </row>
    <row r="234" spans="19:19" x14ac:dyDescent="0.3">
      <c r="S234" s="19">
        <f t="shared" si="4"/>
        <v>0</v>
      </c>
    </row>
    <row r="235" spans="19:19" x14ac:dyDescent="0.3">
      <c r="S235" s="19">
        <f t="shared" si="4"/>
        <v>0</v>
      </c>
    </row>
    <row r="236" spans="19:19" x14ac:dyDescent="0.3">
      <c r="S236" s="19">
        <f t="shared" si="4"/>
        <v>0</v>
      </c>
    </row>
    <row r="237" spans="19:19" x14ac:dyDescent="0.3">
      <c r="S237" s="19">
        <f t="shared" si="4"/>
        <v>0</v>
      </c>
    </row>
    <row r="238" spans="19:19" x14ac:dyDescent="0.3">
      <c r="S238" s="19">
        <f t="shared" si="4"/>
        <v>0</v>
      </c>
    </row>
    <row r="239" spans="19:19" x14ac:dyDescent="0.3">
      <c r="S239" s="19">
        <f t="shared" si="4"/>
        <v>0</v>
      </c>
    </row>
    <row r="240" spans="19:19" x14ac:dyDescent="0.3">
      <c r="S240" s="19">
        <f t="shared" si="4"/>
        <v>0</v>
      </c>
    </row>
    <row r="241" spans="19:19" x14ac:dyDescent="0.3">
      <c r="S241" s="19">
        <f t="shared" si="4"/>
        <v>0</v>
      </c>
    </row>
    <row r="242" spans="19:19" x14ac:dyDescent="0.3">
      <c r="S242" s="19">
        <f t="shared" si="4"/>
        <v>0</v>
      </c>
    </row>
    <row r="243" spans="19:19" x14ac:dyDescent="0.3">
      <c r="S243" s="19">
        <f t="shared" si="4"/>
        <v>0</v>
      </c>
    </row>
    <row r="244" spans="19:19" x14ac:dyDescent="0.3">
      <c r="S244" s="19">
        <f t="shared" si="4"/>
        <v>0</v>
      </c>
    </row>
    <row r="245" spans="19:19" x14ac:dyDescent="0.3">
      <c r="S245" s="19">
        <f t="shared" si="4"/>
        <v>0</v>
      </c>
    </row>
    <row r="246" spans="19:19" x14ac:dyDescent="0.3">
      <c r="S246" s="19">
        <f t="shared" si="4"/>
        <v>0</v>
      </c>
    </row>
    <row r="247" spans="19:19" x14ac:dyDescent="0.3">
      <c r="S247" s="19">
        <f t="shared" si="4"/>
        <v>0</v>
      </c>
    </row>
    <row r="248" spans="19:19" x14ac:dyDescent="0.3">
      <c r="S248" s="19">
        <f t="shared" si="4"/>
        <v>0</v>
      </c>
    </row>
    <row r="249" spans="19:19" x14ac:dyDescent="0.3">
      <c r="S249" s="19">
        <f t="shared" si="4"/>
        <v>0</v>
      </c>
    </row>
    <row r="250" spans="19:19" x14ac:dyDescent="0.3">
      <c r="S250" s="19">
        <f t="shared" si="4"/>
        <v>0</v>
      </c>
    </row>
    <row r="251" spans="19:19" x14ac:dyDescent="0.3">
      <c r="S251" s="19">
        <f t="shared" si="4"/>
        <v>0</v>
      </c>
    </row>
    <row r="252" spans="19:19" x14ac:dyDescent="0.3">
      <c r="S252" s="19">
        <f t="shared" si="4"/>
        <v>0</v>
      </c>
    </row>
    <row r="253" spans="19:19" x14ac:dyDescent="0.3">
      <c r="S253" s="19">
        <f t="shared" si="4"/>
        <v>0</v>
      </c>
    </row>
    <row r="254" spans="19:19" x14ac:dyDescent="0.3">
      <c r="S254" s="19">
        <f t="shared" si="4"/>
        <v>0</v>
      </c>
    </row>
    <row r="255" spans="19:19" x14ac:dyDescent="0.3">
      <c r="S255" s="19">
        <f t="shared" si="4"/>
        <v>0</v>
      </c>
    </row>
    <row r="256" spans="19:19" x14ac:dyDescent="0.3">
      <c r="S256" s="19">
        <f t="shared" si="4"/>
        <v>0</v>
      </c>
    </row>
    <row r="257" spans="19:19" x14ac:dyDescent="0.3">
      <c r="S257" s="19">
        <f t="shared" si="4"/>
        <v>0</v>
      </c>
    </row>
    <row r="258" spans="19:19" x14ac:dyDescent="0.3">
      <c r="S258" s="19">
        <f t="shared" si="4"/>
        <v>0</v>
      </c>
    </row>
    <row r="259" spans="19:19" x14ac:dyDescent="0.3">
      <c r="S259" s="19">
        <f t="shared" si="4"/>
        <v>0</v>
      </c>
    </row>
    <row r="260" spans="19:19" x14ac:dyDescent="0.3">
      <c r="S260" s="19">
        <f t="shared" si="4"/>
        <v>0</v>
      </c>
    </row>
    <row r="261" spans="19:19" x14ac:dyDescent="0.3">
      <c r="S261" s="19">
        <f t="shared" si="4"/>
        <v>0</v>
      </c>
    </row>
    <row r="262" spans="19:19" x14ac:dyDescent="0.3">
      <c r="S262" s="19">
        <f t="shared" si="4"/>
        <v>0</v>
      </c>
    </row>
    <row r="263" spans="19:19" x14ac:dyDescent="0.3">
      <c r="S263" s="19">
        <f t="shared" ref="S263:S326" si="5">SUM(N263:R263)</f>
        <v>0</v>
      </c>
    </row>
    <row r="264" spans="19:19" x14ac:dyDescent="0.3">
      <c r="S264" s="19">
        <f t="shared" si="5"/>
        <v>0</v>
      </c>
    </row>
    <row r="265" spans="19:19" x14ac:dyDescent="0.3">
      <c r="S265" s="19">
        <f t="shared" si="5"/>
        <v>0</v>
      </c>
    </row>
    <row r="266" spans="19:19" x14ac:dyDescent="0.3">
      <c r="S266" s="19">
        <f t="shared" si="5"/>
        <v>0</v>
      </c>
    </row>
    <row r="267" spans="19:19" x14ac:dyDescent="0.3">
      <c r="S267" s="19">
        <f t="shared" si="5"/>
        <v>0</v>
      </c>
    </row>
    <row r="268" spans="19:19" x14ac:dyDescent="0.3">
      <c r="S268" s="19">
        <f t="shared" si="5"/>
        <v>0</v>
      </c>
    </row>
    <row r="269" spans="19:19" x14ac:dyDescent="0.3">
      <c r="S269" s="19">
        <f t="shared" si="5"/>
        <v>0</v>
      </c>
    </row>
    <row r="270" spans="19:19" x14ac:dyDescent="0.3">
      <c r="S270" s="19">
        <f t="shared" si="5"/>
        <v>0</v>
      </c>
    </row>
    <row r="271" spans="19:19" x14ac:dyDescent="0.3">
      <c r="S271" s="19">
        <f t="shared" si="5"/>
        <v>0</v>
      </c>
    </row>
    <row r="272" spans="19:19" x14ac:dyDescent="0.3">
      <c r="S272" s="19">
        <f t="shared" si="5"/>
        <v>0</v>
      </c>
    </row>
    <row r="273" spans="19:19" x14ac:dyDescent="0.3">
      <c r="S273" s="19">
        <f t="shared" si="5"/>
        <v>0</v>
      </c>
    </row>
    <row r="274" spans="19:19" x14ac:dyDescent="0.3">
      <c r="S274" s="19">
        <f t="shared" si="5"/>
        <v>0</v>
      </c>
    </row>
    <row r="275" spans="19:19" x14ac:dyDescent="0.3">
      <c r="S275" s="19">
        <f t="shared" si="5"/>
        <v>0</v>
      </c>
    </row>
    <row r="276" spans="19:19" x14ac:dyDescent="0.3">
      <c r="S276" s="19">
        <f t="shared" si="5"/>
        <v>0</v>
      </c>
    </row>
    <row r="277" spans="19:19" x14ac:dyDescent="0.3">
      <c r="S277" s="19">
        <f t="shared" si="5"/>
        <v>0</v>
      </c>
    </row>
    <row r="278" spans="19:19" x14ac:dyDescent="0.3">
      <c r="S278" s="19">
        <f t="shared" si="5"/>
        <v>0</v>
      </c>
    </row>
    <row r="279" spans="19:19" x14ac:dyDescent="0.3">
      <c r="S279" s="19">
        <f t="shared" si="5"/>
        <v>0</v>
      </c>
    </row>
    <row r="280" spans="19:19" x14ac:dyDescent="0.3">
      <c r="S280" s="19">
        <f t="shared" si="5"/>
        <v>0</v>
      </c>
    </row>
    <row r="281" spans="19:19" x14ac:dyDescent="0.3">
      <c r="S281" s="19">
        <f t="shared" si="5"/>
        <v>0</v>
      </c>
    </row>
    <row r="282" spans="19:19" x14ac:dyDescent="0.3">
      <c r="S282" s="19">
        <f t="shared" si="5"/>
        <v>0</v>
      </c>
    </row>
    <row r="283" spans="19:19" x14ac:dyDescent="0.3">
      <c r="S283" s="19">
        <f t="shared" si="5"/>
        <v>0</v>
      </c>
    </row>
    <row r="284" spans="19:19" x14ac:dyDescent="0.3">
      <c r="S284" s="19">
        <f t="shared" si="5"/>
        <v>0</v>
      </c>
    </row>
    <row r="285" spans="19:19" x14ac:dyDescent="0.3">
      <c r="S285" s="19">
        <f t="shared" si="5"/>
        <v>0</v>
      </c>
    </row>
    <row r="286" spans="19:19" x14ac:dyDescent="0.3">
      <c r="S286" s="19">
        <f t="shared" si="5"/>
        <v>0</v>
      </c>
    </row>
    <row r="287" spans="19:19" x14ac:dyDescent="0.3">
      <c r="S287" s="19">
        <f t="shared" si="5"/>
        <v>0</v>
      </c>
    </row>
    <row r="288" spans="19:19" x14ac:dyDescent="0.3">
      <c r="S288" s="19">
        <f t="shared" si="5"/>
        <v>0</v>
      </c>
    </row>
    <row r="289" spans="19:19" x14ac:dyDescent="0.3">
      <c r="S289" s="19">
        <f t="shared" si="5"/>
        <v>0</v>
      </c>
    </row>
    <row r="290" spans="19:19" x14ac:dyDescent="0.3">
      <c r="S290" s="19">
        <f t="shared" si="5"/>
        <v>0</v>
      </c>
    </row>
    <row r="291" spans="19:19" x14ac:dyDescent="0.3">
      <c r="S291" s="19">
        <f t="shared" si="5"/>
        <v>0</v>
      </c>
    </row>
    <row r="292" spans="19:19" x14ac:dyDescent="0.3">
      <c r="S292" s="19">
        <f t="shared" si="5"/>
        <v>0</v>
      </c>
    </row>
    <row r="293" spans="19:19" x14ac:dyDescent="0.3">
      <c r="S293" s="19">
        <f t="shared" si="5"/>
        <v>0</v>
      </c>
    </row>
    <row r="294" spans="19:19" x14ac:dyDescent="0.3">
      <c r="S294" s="19">
        <f t="shared" si="5"/>
        <v>0</v>
      </c>
    </row>
    <row r="295" spans="19:19" x14ac:dyDescent="0.3">
      <c r="S295" s="19">
        <f t="shared" si="5"/>
        <v>0</v>
      </c>
    </row>
    <row r="296" spans="19:19" x14ac:dyDescent="0.3">
      <c r="S296" s="19">
        <f t="shared" si="5"/>
        <v>0</v>
      </c>
    </row>
    <row r="297" spans="19:19" x14ac:dyDescent="0.3">
      <c r="S297" s="19">
        <f t="shared" si="5"/>
        <v>0</v>
      </c>
    </row>
    <row r="298" spans="19:19" x14ac:dyDescent="0.3">
      <c r="S298" s="19">
        <f t="shared" si="5"/>
        <v>0</v>
      </c>
    </row>
    <row r="299" spans="19:19" x14ac:dyDescent="0.3">
      <c r="S299" s="19">
        <f t="shared" si="5"/>
        <v>0</v>
      </c>
    </row>
    <row r="300" spans="19:19" x14ac:dyDescent="0.3">
      <c r="S300" s="19">
        <f t="shared" si="5"/>
        <v>0</v>
      </c>
    </row>
    <row r="301" spans="19:19" x14ac:dyDescent="0.3">
      <c r="S301" s="19">
        <f t="shared" si="5"/>
        <v>0</v>
      </c>
    </row>
    <row r="302" spans="19:19" x14ac:dyDescent="0.3">
      <c r="S302" s="19">
        <f t="shared" si="5"/>
        <v>0</v>
      </c>
    </row>
    <row r="303" spans="19:19" x14ac:dyDescent="0.3">
      <c r="S303" s="19">
        <f t="shared" si="5"/>
        <v>0</v>
      </c>
    </row>
    <row r="304" spans="19:19" x14ac:dyDescent="0.3">
      <c r="S304" s="19">
        <f t="shared" si="5"/>
        <v>0</v>
      </c>
    </row>
    <row r="305" spans="19:19" x14ac:dyDescent="0.3">
      <c r="S305" s="19">
        <f t="shared" si="5"/>
        <v>0</v>
      </c>
    </row>
    <row r="306" spans="19:19" x14ac:dyDescent="0.3">
      <c r="S306" s="19">
        <f t="shared" si="5"/>
        <v>0</v>
      </c>
    </row>
    <row r="307" spans="19:19" x14ac:dyDescent="0.3">
      <c r="S307" s="19">
        <f t="shared" si="5"/>
        <v>0</v>
      </c>
    </row>
    <row r="308" spans="19:19" x14ac:dyDescent="0.3">
      <c r="S308" s="19">
        <f t="shared" si="5"/>
        <v>0</v>
      </c>
    </row>
    <row r="309" spans="19:19" x14ac:dyDescent="0.3">
      <c r="S309" s="19">
        <f t="shared" si="5"/>
        <v>0</v>
      </c>
    </row>
    <row r="310" spans="19:19" x14ac:dyDescent="0.3">
      <c r="S310" s="19">
        <f t="shared" si="5"/>
        <v>0</v>
      </c>
    </row>
    <row r="311" spans="19:19" x14ac:dyDescent="0.3">
      <c r="S311" s="19">
        <f t="shared" si="5"/>
        <v>0</v>
      </c>
    </row>
    <row r="312" spans="19:19" x14ac:dyDescent="0.3">
      <c r="S312" s="19">
        <f t="shared" si="5"/>
        <v>0</v>
      </c>
    </row>
    <row r="313" spans="19:19" x14ac:dyDescent="0.3">
      <c r="S313" s="19">
        <f t="shared" si="5"/>
        <v>0</v>
      </c>
    </row>
    <row r="314" spans="19:19" x14ac:dyDescent="0.3">
      <c r="S314" s="19">
        <f t="shared" si="5"/>
        <v>0</v>
      </c>
    </row>
    <row r="315" spans="19:19" x14ac:dyDescent="0.3">
      <c r="S315" s="19">
        <f t="shared" si="5"/>
        <v>0</v>
      </c>
    </row>
    <row r="316" spans="19:19" x14ac:dyDescent="0.3">
      <c r="S316" s="19">
        <f t="shared" si="5"/>
        <v>0</v>
      </c>
    </row>
    <row r="317" spans="19:19" x14ac:dyDescent="0.3">
      <c r="S317" s="19">
        <f t="shared" si="5"/>
        <v>0</v>
      </c>
    </row>
    <row r="318" spans="19:19" x14ac:dyDescent="0.3">
      <c r="S318" s="19">
        <f t="shared" si="5"/>
        <v>0</v>
      </c>
    </row>
    <row r="319" spans="19:19" x14ac:dyDescent="0.3">
      <c r="S319" s="19">
        <f t="shared" si="5"/>
        <v>0</v>
      </c>
    </row>
    <row r="320" spans="19:19" x14ac:dyDescent="0.3">
      <c r="S320" s="19">
        <f t="shared" si="5"/>
        <v>0</v>
      </c>
    </row>
    <row r="321" spans="19:19" x14ac:dyDescent="0.3">
      <c r="S321" s="19">
        <f t="shared" si="5"/>
        <v>0</v>
      </c>
    </row>
    <row r="322" spans="19:19" x14ac:dyDescent="0.3">
      <c r="S322" s="19">
        <f t="shared" si="5"/>
        <v>0</v>
      </c>
    </row>
    <row r="323" spans="19:19" x14ac:dyDescent="0.3">
      <c r="S323" s="19">
        <f t="shared" si="5"/>
        <v>0</v>
      </c>
    </row>
    <row r="324" spans="19:19" x14ac:dyDescent="0.3">
      <c r="S324" s="19">
        <f t="shared" si="5"/>
        <v>0</v>
      </c>
    </row>
    <row r="325" spans="19:19" x14ac:dyDescent="0.3">
      <c r="S325" s="19">
        <f t="shared" si="5"/>
        <v>0</v>
      </c>
    </row>
    <row r="326" spans="19:19" x14ac:dyDescent="0.3">
      <c r="S326" s="19">
        <f t="shared" si="5"/>
        <v>0</v>
      </c>
    </row>
    <row r="327" spans="19:19" x14ac:dyDescent="0.3">
      <c r="S327" s="19">
        <f t="shared" ref="S327:S390" si="6">SUM(N327:R327)</f>
        <v>0</v>
      </c>
    </row>
    <row r="328" spans="19:19" x14ac:dyDescent="0.3">
      <c r="S328" s="19">
        <f t="shared" si="6"/>
        <v>0</v>
      </c>
    </row>
    <row r="329" spans="19:19" x14ac:dyDescent="0.3">
      <c r="S329" s="19">
        <f t="shared" si="6"/>
        <v>0</v>
      </c>
    </row>
    <row r="330" spans="19:19" x14ac:dyDescent="0.3">
      <c r="S330" s="19">
        <f t="shared" si="6"/>
        <v>0</v>
      </c>
    </row>
    <row r="331" spans="19:19" x14ac:dyDescent="0.3">
      <c r="S331" s="19">
        <f t="shared" si="6"/>
        <v>0</v>
      </c>
    </row>
    <row r="332" spans="19:19" x14ac:dyDescent="0.3">
      <c r="S332" s="19">
        <f t="shared" si="6"/>
        <v>0</v>
      </c>
    </row>
    <row r="333" spans="19:19" x14ac:dyDescent="0.3">
      <c r="S333" s="19">
        <f t="shared" si="6"/>
        <v>0</v>
      </c>
    </row>
    <row r="334" spans="19:19" x14ac:dyDescent="0.3">
      <c r="S334" s="19">
        <f t="shared" si="6"/>
        <v>0</v>
      </c>
    </row>
    <row r="335" spans="19:19" x14ac:dyDescent="0.3">
      <c r="S335" s="19">
        <f t="shared" si="6"/>
        <v>0</v>
      </c>
    </row>
    <row r="336" spans="19:19" x14ac:dyDescent="0.3">
      <c r="S336" s="19">
        <f t="shared" si="6"/>
        <v>0</v>
      </c>
    </row>
    <row r="337" spans="19:19" x14ac:dyDescent="0.3">
      <c r="S337" s="19">
        <f t="shared" si="6"/>
        <v>0</v>
      </c>
    </row>
    <row r="338" spans="19:19" x14ac:dyDescent="0.3">
      <c r="S338" s="19">
        <f t="shared" si="6"/>
        <v>0</v>
      </c>
    </row>
    <row r="339" spans="19:19" x14ac:dyDescent="0.3">
      <c r="S339" s="19">
        <f t="shared" si="6"/>
        <v>0</v>
      </c>
    </row>
    <row r="340" spans="19:19" x14ac:dyDescent="0.3">
      <c r="S340" s="19">
        <f t="shared" si="6"/>
        <v>0</v>
      </c>
    </row>
    <row r="341" spans="19:19" x14ac:dyDescent="0.3">
      <c r="S341" s="19">
        <f t="shared" si="6"/>
        <v>0</v>
      </c>
    </row>
    <row r="342" spans="19:19" x14ac:dyDescent="0.3">
      <c r="S342" s="19">
        <f t="shared" si="6"/>
        <v>0</v>
      </c>
    </row>
    <row r="343" spans="19:19" x14ac:dyDescent="0.3">
      <c r="S343" s="19">
        <f t="shared" si="6"/>
        <v>0</v>
      </c>
    </row>
    <row r="344" spans="19:19" x14ac:dyDescent="0.3">
      <c r="S344" s="19">
        <f t="shared" si="6"/>
        <v>0</v>
      </c>
    </row>
    <row r="345" spans="19:19" x14ac:dyDescent="0.3">
      <c r="S345" s="19">
        <f t="shared" si="6"/>
        <v>0</v>
      </c>
    </row>
    <row r="346" spans="19:19" x14ac:dyDescent="0.3">
      <c r="S346" s="19">
        <f t="shared" si="6"/>
        <v>0</v>
      </c>
    </row>
    <row r="347" spans="19:19" x14ac:dyDescent="0.3">
      <c r="S347" s="19">
        <f t="shared" si="6"/>
        <v>0</v>
      </c>
    </row>
    <row r="348" spans="19:19" x14ac:dyDescent="0.3">
      <c r="S348" s="19">
        <f t="shared" si="6"/>
        <v>0</v>
      </c>
    </row>
    <row r="349" spans="19:19" x14ac:dyDescent="0.3">
      <c r="S349" s="19">
        <f t="shared" si="6"/>
        <v>0</v>
      </c>
    </row>
    <row r="350" spans="19:19" x14ac:dyDescent="0.3">
      <c r="S350" s="19">
        <f t="shared" si="6"/>
        <v>0</v>
      </c>
    </row>
    <row r="351" spans="19:19" x14ac:dyDescent="0.3">
      <c r="S351" s="19">
        <f t="shared" si="6"/>
        <v>0</v>
      </c>
    </row>
    <row r="352" spans="19:19" x14ac:dyDescent="0.3">
      <c r="S352" s="19">
        <f t="shared" si="6"/>
        <v>0</v>
      </c>
    </row>
    <row r="353" spans="19:19" x14ac:dyDescent="0.3">
      <c r="S353" s="19">
        <f t="shared" si="6"/>
        <v>0</v>
      </c>
    </row>
    <row r="354" spans="19:19" x14ac:dyDescent="0.3">
      <c r="S354" s="19">
        <f t="shared" si="6"/>
        <v>0</v>
      </c>
    </row>
    <row r="355" spans="19:19" x14ac:dyDescent="0.3">
      <c r="S355" s="19">
        <f t="shared" si="6"/>
        <v>0</v>
      </c>
    </row>
    <row r="356" spans="19:19" x14ac:dyDescent="0.3">
      <c r="S356" s="19">
        <f t="shared" si="6"/>
        <v>0</v>
      </c>
    </row>
    <row r="357" spans="19:19" x14ac:dyDescent="0.3">
      <c r="S357" s="19">
        <f t="shared" si="6"/>
        <v>0</v>
      </c>
    </row>
    <row r="358" spans="19:19" x14ac:dyDescent="0.3">
      <c r="S358" s="19">
        <f t="shared" si="6"/>
        <v>0</v>
      </c>
    </row>
    <row r="359" spans="19:19" x14ac:dyDescent="0.3">
      <c r="S359" s="19">
        <f t="shared" si="6"/>
        <v>0</v>
      </c>
    </row>
    <row r="360" spans="19:19" x14ac:dyDescent="0.3">
      <c r="S360" s="19">
        <f t="shared" si="6"/>
        <v>0</v>
      </c>
    </row>
    <row r="361" spans="19:19" x14ac:dyDescent="0.3">
      <c r="S361" s="19">
        <f t="shared" si="6"/>
        <v>0</v>
      </c>
    </row>
    <row r="362" spans="19:19" x14ac:dyDescent="0.3">
      <c r="S362" s="19">
        <f t="shared" si="6"/>
        <v>0</v>
      </c>
    </row>
    <row r="363" spans="19:19" x14ac:dyDescent="0.3">
      <c r="S363" s="19">
        <f t="shared" si="6"/>
        <v>0</v>
      </c>
    </row>
    <row r="364" spans="19:19" x14ac:dyDescent="0.3">
      <c r="S364" s="19">
        <f t="shared" si="6"/>
        <v>0</v>
      </c>
    </row>
    <row r="365" spans="19:19" x14ac:dyDescent="0.3">
      <c r="S365" s="19">
        <f t="shared" si="6"/>
        <v>0</v>
      </c>
    </row>
    <row r="366" spans="19:19" x14ac:dyDescent="0.3">
      <c r="S366" s="19">
        <f t="shared" si="6"/>
        <v>0</v>
      </c>
    </row>
    <row r="367" spans="19:19" x14ac:dyDescent="0.3">
      <c r="S367" s="19">
        <f t="shared" si="6"/>
        <v>0</v>
      </c>
    </row>
    <row r="368" spans="19:19" x14ac:dyDescent="0.3">
      <c r="S368" s="19">
        <f t="shared" si="6"/>
        <v>0</v>
      </c>
    </row>
    <row r="369" spans="19:19" x14ac:dyDescent="0.3">
      <c r="S369" s="19">
        <f t="shared" si="6"/>
        <v>0</v>
      </c>
    </row>
    <row r="370" spans="19:19" x14ac:dyDescent="0.3">
      <c r="S370" s="19">
        <f t="shared" si="6"/>
        <v>0</v>
      </c>
    </row>
    <row r="371" spans="19:19" x14ac:dyDescent="0.3">
      <c r="S371" s="19">
        <f t="shared" si="6"/>
        <v>0</v>
      </c>
    </row>
    <row r="372" spans="19:19" x14ac:dyDescent="0.3">
      <c r="S372" s="19">
        <f t="shared" si="6"/>
        <v>0</v>
      </c>
    </row>
    <row r="373" spans="19:19" x14ac:dyDescent="0.3">
      <c r="S373" s="19">
        <f t="shared" si="6"/>
        <v>0</v>
      </c>
    </row>
    <row r="374" spans="19:19" x14ac:dyDescent="0.3">
      <c r="S374" s="19">
        <f t="shared" si="6"/>
        <v>0</v>
      </c>
    </row>
    <row r="375" spans="19:19" x14ac:dyDescent="0.3">
      <c r="S375" s="19">
        <f t="shared" si="6"/>
        <v>0</v>
      </c>
    </row>
    <row r="376" spans="19:19" x14ac:dyDescent="0.3">
      <c r="S376" s="19">
        <f t="shared" si="6"/>
        <v>0</v>
      </c>
    </row>
    <row r="377" spans="19:19" x14ac:dyDescent="0.3">
      <c r="S377" s="19">
        <f t="shared" si="6"/>
        <v>0</v>
      </c>
    </row>
    <row r="378" spans="19:19" x14ac:dyDescent="0.3">
      <c r="S378" s="19">
        <f t="shared" si="6"/>
        <v>0</v>
      </c>
    </row>
    <row r="379" spans="19:19" x14ac:dyDescent="0.3">
      <c r="S379" s="19">
        <f t="shared" si="6"/>
        <v>0</v>
      </c>
    </row>
    <row r="380" spans="19:19" x14ac:dyDescent="0.3">
      <c r="S380" s="19">
        <f t="shared" si="6"/>
        <v>0</v>
      </c>
    </row>
    <row r="381" spans="19:19" x14ac:dyDescent="0.3">
      <c r="S381" s="19">
        <f t="shared" si="6"/>
        <v>0</v>
      </c>
    </row>
    <row r="382" spans="19:19" x14ac:dyDescent="0.3">
      <c r="S382" s="19">
        <f t="shared" si="6"/>
        <v>0</v>
      </c>
    </row>
    <row r="383" spans="19:19" x14ac:dyDescent="0.3">
      <c r="S383" s="19">
        <f t="shared" si="6"/>
        <v>0</v>
      </c>
    </row>
    <row r="384" spans="19:19" x14ac:dyDescent="0.3">
      <c r="S384" s="19">
        <f t="shared" si="6"/>
        <v>0</v>
      </c>
    </row>
    <row r="385" spans="19:19" x14ac:dyDescent="0.3">
      <c r="S385" s="19">
        <f t="shared" si="6"/>
        <v>0</v>
      </c>
    </row>
    <row r="386" spans="19:19" x14ac:dyDescent="0.3">
      <c r="S386" s="19">
        <f t="shared" si="6"/>
        <v>0</v>
      </c>
    </row>
    <row r="387" spans="19:19" x14ac:dyDescent="0.3">
      <c r="S387" s="19">
        <f t="shared" si="6"/>
        <v>0</v>
      </c>
    </row>
    <row r="388" spans="19:19" x14ac:dyDescent="0.3">
      <c r="S388" s="19">
        <f t="shared" si="6"/>
        <v>0</v>
      </c>
    </row>
    <row r="389" spans="19:19" x14ac:dyDescent="0.3">
      <c r="S389" s="19">
        <f t="shared" si="6"/>
        <v>0</v>
      </c>
    </row>
    <row r="390" spans="19:19" x14ac:dyDescent="0.3">
      <c r="S390" s="19">
        <f t="shared" si="6"/>
        <v>0</v>
      </c>
    </row>
    <row r="391" spans="19:19" x14ac:dyDescent="0.3">
      <c r="S391" s="19">
        <f t="shared" ref="S391:S454" si="7">SUM(N391:R391)</f>
        <v>0</v>
      </c>
    </row>
    <row r="392" spans="19:19" x14ac:dyDescent="0.3">
      <c r="S392" s="19">
        <f t="shared" si="7"/>
        <v>0</v>
      </c>
    </row>
    <row r="393" spans="19:19" x14ac:dyDescent="0.3">
      <c r="S393" s="19">
        <f t="shared" si="7"/>
        <v>0</v>
      </c>
    </row>
    <row r="394" spans="19:19" x14ac:dyDescent="0.3">
      <c r="S394" s="19">
        <f t="shared" si="7"/>
        <v>0</v>
      </c>
    </row>
    <row r="395" spans="19:19" x14ac:dyDescent="0.3">
      <c r="S395" s="19">
        <f t="shared" si="7"/>
        <v>0</v>
      </c>
    </row>
    <row r="396" spans="19:19" x14ac:dyDescent="0.3">
      <c r="S396" s="19">
        <f t="shared" si="7"/>
        <v>0</v>
      </c>
    </row>
    <row r="397" spans="19:19" x14ac:dyDescent="0.3">
      <c r="S397" s="19">
        <f t="shared" si="7"/>
        <v>0</v>
      </c>
    </row>
    <row r="398" spans="19:19" x14ac:dyDescent="0.3">
      <c r="S398" s="19">
        <f t="shared" si="7"/>
        <v>0</v>
      </c>
    </row>
    <row r="399" spans="19:19" x14ac:dyDescent="0.3">
      <c r="S399" s="19">
        <f t="shared" si="7"/>
        <v>0</v>
      </c>
    </row>
    <row r="400" spans="19:19" x14ac:dyDescent="0.3">
      <c r="S400" s="19">
        <f t="shared" si="7"/>
        <v>0</v>
      </c>
    </row>
    <row r="401" spans="19:19" x14ac:dyDescent="0.3">
      <c r="S401" s="19">
        <f t="shared" si="7"/>
        <v>0</v>
      </c>
    </row>
    <row r="402" spans="19:19" x14ac:dyDescent="0.3">
      <c r="S402" s="19">
        <f t="shared" si="7"/>
        <v>0</v>
      </c>
    </row>
    <row r="403" spans="19:19" x14ac:dyDescent="0.3">
      <c r="S403" s="19">
        <f t="shared" si="7"/>
        <v>0</v>
      </c>
    </row>
    <row r="404" spans="19:19" x14ac:dyDescent="0.3">
      <c r="S404" s="19">
        <f t="shared" si="7"/>
        <v>0</v>
      </c>
    </row>
    <row r="405" spans="19:19" x14ac:dyDescent="0.3">
      <c r="S405" s="19">
        <f t="shared" si="7"/>
        <v>0</v>
      </c>
    </row>
    <row r="406" spans="19:19" x14ac:dyDescent="0.3">
      <c r="S406" s="19">
        <f t="shared" si="7"/>
        <v>0</v>
      </c>
    </row>
    <row r="407" spans="19:19" x14ac:dyDescent="0.3">
      <c r="S407" s="19">
        <f t="shared" si="7"/>
        <v>0</v>
      </c>
    </row>
    <row r="408" spans="19:19" x14ac:dyDescent="0.3">
      <c r="S408" s="19">
        <f t="shared" si="7"/>
        <v>0</v>
      </c>
    </row>
    <row r="409" spans="19:19" x14ac:dyDescent="0.3">
      <c r="S409" s="19">
        <f t="shared" si="7"/>
        <v>0</v>
      </c>
    </row>
    <row r="410" spans="19:19" x14ac:dyDescent="0.3">
      <c r="S410" s="19">
        <f t="shared" si="7"/>
        <v>0</v>
      </c>
    </row>
    <row r="411" spans="19:19" x14ac:dyDescent="0.3">
      <c r="S411" s="19">
        <f t="shared" si="7"/>
        <v>0</v>
      </c>
    </row>
    <row r="412" spans="19:19" x14ac:dyDescent="0.3">
      <c r="S412" s="19">
        <f t="shared" si="7"/>
        <v>0</v>
      </c>
    </row>
    <row r="413" spans="19:19" x14ac:dyDescent="0.3">
      <c r="S413" s="19">
        <f t="shared" si="7"/>
        <v>0</v>
      </c>
    </row>
    <row r="414" spans="19:19" x14ac:dyDescent="0.3">
      <c r="S414" s="19">
        <f t="shared" si="7"/>
        <v>0</v>
      </c>
    </row>
    <row r="415" spans="19:19" x14ac:dyDescent="0.3">
      <c r="S415" s="19">
        <f t="shared" si="7"/>
        <v>0</v>
      </c>
    </row>
    <row r="416" spans="19:19" x14ac:dyDescent="0.3">
      <c r="S416" s="19">
        <f t="shared" si="7"/>
        <v>0</v>
      </c>
    </row>
    <row r="417" spans="19:19" x14ac:dyDescent="0.3">
      <c r="S417" s="19">
        <f t="shared" si="7"/>
        <v>0</v>
      </c>
    </row>
    <row r="418" spans="19:19" x14ac:dyDescent="0.3">
      <c r="S418" s="19">
        <f t="shared" si="7"/>
        <v>0</v>
      </c>
    </row>
    <row r="419" spans="19:19" x14ac:dyDescent="0.3">
      <c r="S419" s="19">
        <f t="shared" si="7"/>
        <v>0</v>
      </c>
    </row>
    <row r="420" spans="19:19" x14ac:dyDescent="0.3">
      <c r="S420" s="19">
        <f t="shared" si="7"/>
        <v>0</v>
      </c>
    </row>
    <row r="421" spans="19:19" x14ac:dyDescent="0.3">
      <c r="S421" s="19">
        <f t="shared" si="7"/>
        <v>0</v>
      </c>
    </row>
    <row r="422" spans="19:19" x14ac:dyDescent="0.3">
      <c r="S422" s="19">
        <f t="shared" si="7"/>
        <v>0</v>
      </c>
    </row>
    <row r="423" spans="19:19" x14ac:dyDescent="0.3">
      <c r="S423" s="19">
        <f t="shared" si="7"/>
        <v>0</v>
      </c>
    </row>
    <row r="424" spans="19:19" x14ac:dyDescent="0.3">
      <c r="S424" s="19">
        <f t="shared" si="7"/>
        <v>0</v>
      </c>
    </row>
    <row r="425" spans="19:19" x14ac:dyDescent="0.3">
      <c r="S425" s="19">
        <f t="shared" si="7"/>
        <v>0</v>
      </c>
    </row>
    <row r="426" spans="19:19" x14ac:dyDescent="0.3">
      <c r="S426" s="19">
        <f t="shared" si="7"/>
        <v>0</v>
      </c>
    </row>
    <row r="427" spans="19:19" x14ac:dyDescent="0.3">
      <c r="S427" s="19">
        <f t="shared" si="7"/>
        <v>0</v>
      </c>
    </row>
    <row r="428" spans="19:19" x14ac:dyDescent="0.3">
      <c r="S428" s="19">
        <f t="shared" si="7"/>
        <v>0</v>
      </c>
    </row>
    <row r="429" spans="19:19" x14ac:dyDescent="0.3">
      <c r="S429" s="19">
        <f t="shared" si="7"/>
        <v>0</v>
      </c>
    </row>
    <row r="430" spans="19:19" x14ac:dyDescent="0.3">
      <c r="S430" s="19">
        <f t="shared" si="7"/>
        <v>0</v>
      </c>
    </row>
    <row r="431" spans="19:19" x14ac:dyDescent="0.3">
      <c r="S431" s="19">
        <f t="shared" si="7"/>
        <v>0</v>
      </c>
    </row>
    <row r="432" spans="19:19" x14ac:dyDescent="0.3">
      <c r="S432" s="19">
        <f t="shared" si="7"/>
        <v>0</v>
      </c>
    </row>
    <row r="433" spans="19:19" x14ac:dyDescent="0.3">
      <c r="S433" s="19">
        <f t="shared" si="7"/>
        <v>0</v>
      </c>
    </row>
    <row r="434" spans="19:19" x14ac:dyDescent="0.3">
      <c r="S434" s="19">
        <f t="shared" si="7"/>
        <v>0</v>
      </c>
    </row>
    <row r="435" spans="19:19" x14ac:dyDescent="0.3">
      <c r="S435" s="19">
        <f t="shared" si="7"/>
        <v>0</v>
      </c>
    </row>
    <row r="436" spans="19:19" x14ac:dyDescent="0.3">
      <c r="S436" s="19">
        <f t="shared" si="7"/>
        <v>0</v>
      </c>
    </row>
    <row r="437" spans="19:19" x14ac:dyDescent="0.3">
      <c r="S437" s="19">
        <f t="shared" si="7"/>
        <v>0</v>
      </c>
    </row>
    <row r="438" spans="19:19" x14ac:dyDescent="0.3">
      <c r="S438" s="19">
        <f t="shared" si="7"/>
        <v>0</v>
      </c>
    </row>
    <row r="439" spans="19:19" x14ac:dyDescent="0.3">
      <c r="S439" s="19">
        <f t="shared" si="7"/>
        <v>0</v>
      </c>
    </row>
    <row r="440" spans="19:19" x14ac:dyDescent="0.3">
      <c r="S440" s="19">
        <f t="shared" si="7"/>
        <v>0</v>
      </c>
    </row>
    <row r="441" spans="19:19" x14ac:dyDescent="0.3">
      <c r="S441" s="19">
        <f t="shared" si="7"/>
        <v>0</v>
      </c>
    </row>
    <row r="442" spans="19:19" x14ac:dyDescent="0.3">
      <c r="S442" s="19">
        <f t="shared" si="7"/>
        <v>0</v>
      </c>
    </row>
    <row r="443" spans="19:19" x14ac:dyDescent="0.3">
      <c r="S443" s="19">
        <f t="shared" si="7"/>
        <v>0</v>
      </c>
    </row>
    <row r="444" spans="19:19" x14ac:dyDescent="0.3">
      <c r="S444" s="19">
        <f t="shared" si="7"/>
        <v>0</v>
      </c>
    </row>
    <row r="445" spans="19:19" x14ac:dyDescent="0.3">
      <c r="S445" s="19">
        <f t="shared" si="7"/>
        <v>0</v>
      </c>
    </row>
    <row r="446" spans="19:19" x14ac:dyDescent="0.3">
      <c r="S446" s="19">
        <f t="shared" si="7"/>
        <v>0</v>
      </c>
    </row>
    <row r="447" spans="19:19" x14ac:dyDescent="0.3">
      <c r="S447" s="19">
        <f t="shared" si="7"/>
        <v>0</v>
      </c>
    </row>
    <row r="448" spans="19:19" x14ac:dyDescent="0.3">
      <c r="S448" s="19">
        <f t="shared" si="7"/>
        <v>0</v>
      </c>
    </row>
    <row r="449" spans="19:19" x14ac:dyDescent="0.3">
      <c r="S449" s="19">
        <f t="shared" si="7"/>
        <v>0</v>
      </c>
    </row>
    <row r="450" spans="19:19" x14ac:dyDescent="0.3">
      <c r="S450" s="19">
        <f t="shared" si="7"/>
        <v>0</v>
      </c>
    </row>
    <row r="451" spans="19:19" x14ac:dyDescent="0.3">
      <c r="S451" s="19">
        <f t="shared" si="7"/>
        <v>0</v>
      </c>
    </row>
    <row r="452" spans="19:19" x14ac:dyDescent="0.3">
      <c r="S452" s="19">
        <f t="shared" si="7"/>
        <v>0</v>
      </c>
    </row>
    <row r="453" spans="19:19" x14ac:dyDescent="0.3">
      <c r="S453" s="19">
        <f t="shared" si="7"/>
        <v>0</v>
      </c>
    </row>
    <row r="454" spans="19:19" x14ac:dyDescent="0.3">
      <c r="S454" s="19">
        <f t="shared" si="7"/>
        <v>0</v>
      </c>
    </row>
    <row r="455" spans="19:19" x14ac:dyDescent="0.3">
      <c r="S455" s="19">
        <f t="shared" ref="S455:S518" si="8">SUM(N455:R455)</f>
        <v>0</v>
      </c>
    </row>
    <row r="456" spans="19:19" x14ac:dyDescent="0.3">
      <c r="S456" s="19">
        <f t="shared" si="8"/>
        <v>0</v>
      </c>
    </row>
    <row r="457" spans="19:19" x14ac:dyDescent="0.3">
      <c r="S457" s="19">
        <f t="shared" si="8"/>
        <v>0</v>
      </c>
    </row>
    <row r="458" spans="19:19" x14ac:dyDescent="0.3">
      <c r="S458" s="19">
        <f t="shared" si="8"/>
        <v>0</v>
      </c>
    </row>
    <row r="459" spans="19:19" x14ac:dyDescent="0.3">
      <c r="S459" s="19">
        <f t="shared" si="8"/>
        <v>0</v>
      </c>
    </row>
    <row r="460" spans="19:19" x14ac:dyDescent="0.3">
      <c r="S460" s="19">
        <f t="shared" si="8"/>
        <v>0</v>
      </c>
    </row>
    <row r="461" spans="19:19" x14ac:dyDescent="0.3">
      <c r="S461" s="19">
        <f t="shared" si="8"/>
        <v>0</v>
      </c>
    </row>
    <row r="462" spans="19:19" x14ac:dyDescent="0.3">
      <c r="S462" s="19">
        <f t="shared" si="8"/>
        <v>0</v>
      </c>
    </row>
    <row r="463" spans="19:19" x14ac:dyDescent="0.3">
      <c r="S463" s="19">
        <f t="shared" si="8"/>
        <v>0</v>
      </c>
    </row>
    <row r="464" spans="19:19" x14ac:dyDescent="0.3">
      <c r="S464" s="19">
        <f t="shared" si="8"/>
        <v>0</v>
      </c>
    </row>
    <row r="465" spans="19:19" x14ac:dyDescent="0.3">
      <c r="S465" s="19">
        <f t="shared" si="8"/>
        <v>0</v>
      </c>
    </row>
    <row r="466" spans="19:19" x14ac:dyDescent="0.3">
      <c r="S466" s="19">
        <f t="shared" si="8"/>
        <v>0</v>
      </c>
    </row>
    <row r="467" spans="19:19" x14ac:dyDescent="0.3">
      <c r="S467" s="19">
        <f t="shared" si="8"/>
        <v>0</v>
      </c>
    </row>
    <row r="468" spans="19:19" x14ac:dyDescent="0.3">
      <c r="S468" s="19">
        <f t="shared" si="8"/>
        <v>0</v>
      </c>
    </row>
    <row r="469" spans="19:19" x14ac:dyDescent="0.3">
      <c r="S469" s="19">
        <f t="shared" si="8"/>
        <v>0</v>
      </c>
    </row>
    <row r="470" spans="19:19" x14ac:dyDescent="0.3">
      <c r="S470" s="19">
        <f t="shared" si="8"/>
        <v>0</v>
      </c>
    </row>
    <row r="471" spans="19:19" x14ac:dyDescent="0.3">
      <c r="S471" s="19">
        <f t="shared" si="8"/>
        <v>0</v>
      </c>
    </row>
    <row r="472" spans="19:19" x14ac:dyDescent="0.3">
      <c r="S472" s="19">
        <f t="shared" si="8"/>
        <v>0</v>
      </c>
    </row>
    <row r="473" spans="19:19" x14ac:dyDescent="0.3">
      <c r="S473" s="19">
        <f t="shared" si="8"/>
        <v>0</v>
      </c>
    </row>
    <row r="474" spans="19:19" x14ac:dyDescent="0.3">
      <c r="S474" s="19">
        <f t="shared" si="8"/>
        <v>0</v>
      </c>
    </row>
    <row r="475" spans="19:19" x14ac:dyDescent="0.3">
      <c r="S475" s="19">
        <f t="shared" si="8"/>
        <v>0</v>
      </c>
    </row>
    <row r="476" spans="19:19" x14ac:dyDescent="0.3">
      <c r="S476" s="19">
        <f t="shared" si="8"/>
        <v>0</v>
      </c>
    </row>
    <row r="477" spans="19:19" x14ac:dyDescent="0.3">
      <c r="S477" s="19">
        <f t="shared" si="8"/>
        <v>0</v>
      </c>
    </row>
    <row r="478" spans="19:19" x14ac:dyDescent="0.3">
      <c r="S478" s="19">
        <f t="shared" si="8"/>
        <v>0</v>
      </c>
    </row>
    <row r="479" spans="19:19" x14ac:dyDescent="0.3">
      <c r="S479" s="19">
        <f t="shared" si="8"/>
        <v>0</v>
      </c>
    </row>
    <row r="480" spans="19:19" x14ac:dyDescent="0.3">
      <c r="S480" s="19">
        <f t="shared" si="8"/>
        <v>0</v>
      </c>
    </row>
    <row r="481" spans="19:19" x14ac:dyDescent="0.3">
      <c r="S481" s="19">
        <f t="shared" si="8"/>
        <v>0</v>
      </c>
    </row>
    <row r="482" spans="19:19" x14ac:dyDescent="0.3">
      <c r="S482" s="19">
        <f t="shared" si="8"/>
        <v>0</v>
      </c>
    </row>
    <row r="483" spans="19:19" x14ac:dyDescent="0.3">
      <c r="S483" s="19">
        <f t="shared" si="8"/>
        <v>0</v>
      </c>
    </row>
    <row r="484" spans="19:19" x14ac:dyDescent="0.3">
      <c r="S484" s="19">
        <f t="shared" si="8"/>
        <v>0</v>
      </c>
    </row>
    <row r="485" spans="19:19" x14ac:dyDescent="0.3">
      <c r="S485" s="19">
        <f t="shared" si="8"/>
        <v>0</v>
      </c>
    </row>
    <row r="486" spans="19:19" x14ac:dyDescent="0.3">
      <c r="S486" s="19">
        <f t="shared" si="8"/>
        <v>0</v>
      </c>
    </row>
    <row r="487" spans="19:19" x14ac:dyDescent="0.3">
      <c r="S487" s="19">
        <f t="shared" si="8"/>
        <v>0</v>
      </c>
    </row>
    <row r="488" spans="19:19" x14ac:dyDescent="0.3">
      <c r="S488" s="19">
        <f t="shared" si="8"/>
        <v>0</v>
      </c>
    </row>
    <row r="489" spans="19:19" x14ac:dyDescent="0.3">
      <c r="S489" s="19">
        <f t="shared" si="8"/>
        <v>0</v>
      </c>
    </row>
    <row r="490" spans="19:19" x14ac:dyDescent="0.3">
      <c r="S490" s="19">
        <f t="shared" si="8"/>
        <v>0</v>
      </c>
    </row>
    <row r="491" spans="19:19" x14ac:dyDescent="0.3">
      <c r="S491" s="19">
        <f t="shared" si="8"/>
        <v>0</v>
      </c>
    </row>
    <row r="492" spans="19:19" x14ac:dyDescent="0.3">
      <c r="S492" s="19">
        <f t="shared" si="8"/>
        <v>0</v>
      </c>
    </row>
    <row r="493" spans="19:19" x14ac:dyDescent="0.3">
      <c r="S493" s="19">
        <f t="shared" si="8"/>
        <v>0</v>
      </c>
    </row>
    <row r="494" spans="19:19" x14ac:dyDescent="0.3">
      <c r="S494" s="19">
        <f t="shared" si="8"/>
        <v>0</v>
      </c>
    </row>
    <row r="495" spans="19:19" x14ac:dyDescent="0.3">
      <c r="S495" s="19">
        <f t="shared" si="8"/>
        <v>0</v>
      </c>
    </row>
    <row r="496" spans="19:19" x14ac:dyDescent="0.3">
      <c r="S496" s="19">
        <f t="shared" si="8"/>
        <v>0</v>
      </c>
    </row>
    <row r="497" spans="19:19" x14ac:dyDescent="0.3">
      <c r="S497" s="19">
        <f t="shared" si="8"/>
        <v>0</v>
      </c>
    </row>
    <row r="498" spans="19:19" x14ac:dyDescent="0.3">
      <c r="S498" s="19">
        <f t="shared" si="8"/>
        <v>0</v>
      </c>
    </row>
    <row r="499" spans="19:19" x14ac:dyDescent="0.3">
      <c r="S499" s="19">
        <f t="shared" si="8"/>
        <v>0</v>
      </c>
    </row>
    <row r="500" spans="19:19" x14ac:dyDescent="0.3">
      <c r="S500" s="19">
        <f t="shared" si="8"/>
        <v>0</v>
      </c>
    </row>
    <row r="501" spans="19:19" x14ac:dyDescent="0.3">
      <c r="S501" s="19">
        <f t="shared" si="8"/>
        <v>0</v>
      </c>
    </row>
    <row r="502" spans="19:19" x14ac:dyDescent="0.3">
      <c r="S502" s="19">
        <f t="shared" si="8"/>
        <v>0</v>
      </c>
    </row>
    <row r="503" spans="19:19" x14ac:dyDescent="0.3">
      <c r="S503" s="19">
        <f t="shared" si="8"/>
        <v>0</v>
      </c>
    </row>
    <row r="504" spans="19:19" x14ac:dyDescent="0.3">
      <c r="S504" s="19">
        <f t="shared" si="8"/>
        <v>0</v>
      </c>
    </row>
    <row r="505" spans="19:19" x14ac:dyDescent="0.3">
      <c r="S505" s="19">
        <f t="shared" si="8"/>
        <v>0</v>
      </c>
    </row>
    <row r="506" spans="19:19" x14ac:dyDescent="0.3">
      <c r="S506" s="19">
        <f t="shared" si="8"/>
        <v>0</v>
      </c>
    </row>
    <row r="507" spans="19:19" x14ac:dyDescent="0.3">
      <c r="S507" s="19">
        <f t="shared" si="8"/>
        <v>0</v>
      </c>
    </row>
    <row r="508" spans="19:19" x14ac:dyDescent="0.3">
      <c r="S508" s="19">
        <f t="shared" si="8"/>
        <v>0</v>
      </c>
    </row>
    <row r="509" spans="19:19" x14ac:dyDescent="0.3">
      <c r="S509" s="19">
        <f t="shared" si="8"/>
        <v>0</v>
      </c>
    </row>
    <row r="510" spans="19:19" x14ac:dyDescent="0.3">
      <c r="S510" s="19">
        <f t="shared" si="8"/>
        <v>0</v>
      </c>
    </row>
    <row r="511" spans="19:19" x14ac:dyDescent="0.3">
      <c r="S511" s="19">
        <f t="shared" si="8"/>
        <v>0</v>
      </c>
    </row>
    <row r="512" spans="19:19" x14ac:dyDescent="0.3">
      <c r="S512" s="19">
        <f t="shared" si="8"/>
        <v>0</v>
      </c>
    </row>
    <row r="513" spans="19:19" x14ac:dyDescent="0.3">
      <c r="S513" s="19">
        <f t="shared" si="8"/>
        <v>0</v>
      </c>
    </row>
    <row r="514" spans="19:19" x14ac:dyDescent="0.3">
      <c r="S514" s="19">
        <f t="shared" si="8"/>
        <v>0</v>
      </c>
    </row>
    <row r="515" spans="19:19" x14ac:dyDescent="0.3">
      <c r="S515" s="19">
        <f t="shared" si="8"/>
        <v>0</v>
      </c>
    </row>
    <row r="516" spans="19:19" x14ac:dyDescent="0.3">
      <c r="S516" s="19">
        <f t="shared" si="8"/>
        <v>0</v>
      </c>
    </row>
    <row r="517" spans="19:19" x14ac:dyDescent="0.3">
      <c r="S517" s="19">
        <f t="shared" si="8"/>
        <v>0</v>
      </c>
    </row>
    <row r="518" spans="19:19" x14ac:dyDescent="0.3">
      <c r="S518" s="19">
        <f t="shared" si="8"/>
        <v>0</v>
      </c>
    </row>
    <row r="519" spans="19:19" x14ac:dyDescent="0.3">
      <c r="S519" s="19">
        <f t="shared" ref="S519:S527" si="9">SUM(N519:R519)</f>
        <v>0</v>
      </c>
    </row>
    <row r="520" spans="19:19" x14ac:dyDescent="0.3">
      <c r="S520" s="19">
        <f t="shared" si="9"/>
        <v>0</v>
      </c>
    </row>
    <row r="521" spans="19:19" x14ac:dyDescent="0.3">
      <c r="S521" s="19">
        <f t="shared" si="9"/>
        <v>0</v>
      </c>
    </row>
    <row r="522" spans="19:19" x14ac:dyDescent="0.3">
      <c r="S522" s="19">
        <f t="shared" si="9"/>
        <v>0</v>
      </c>
    </row>
    <row r="523" spans="19:19" x14ac:dyDescent="0.3">
      <c r="S523" s="19">
        <f t="shared" si="9"/>
        <v>0</v>
      </c>
    </row>
    <row r="524" spans="19:19" x14ac:dyDescent="0.3">
      <c r="S524" s="19">
        <f t="shared" si="9"/>
        <v>0</v>
      </c>
    </row>
    <row r="525" spans="19:19" x14ac:dyDescent="0.3">
      <c r="S525" s="19">
        <f t="shared" si="9"/>
        <v>0</v>
      </c>
    </row>
    <row r="526" spans="19:19" x14ac:dyDescent="0.3">
      <c r="S526" s="19">
        <f t="shared" si="9"/>
        <v>0</v>
      </c>
    </row>
    <row r="527" spans="19:19" x14ac:dyDescent="0.3">
      <c r="S527" s="19">
        <f t="shared" si="9"/>
        <v>0</v>
      </c>
    </row>
  </sheetData>
  <autoFilter ref="A1:S1" xr:uid="{00000000-0001-0000-00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3344-FA29-4C64-B057-46A8882CF80C}">
  <sheetPr>
    <tabColor theme="8" tint="0.59999389629810485"/>
  </sheetPr>
  <dimension ref="A1:U530"/>
  <sheetViews>
    <sheetView topLeftCell="A10" workbookViewId="0">
      <selection activeCell="C29" sqref="C29"/>
    </sheetView>
  </sheetViews>
  <sheetFormatPr defaultColWidth="8.88671875" defaultRowHeight="14.4" x14ac:dyDescent="0.3"/>
  <cols>
    <col min="1" max="1" width="23.6640625" style="2" customWidth="1"/>
    <col min="2" max="2" width="17.33203125" style="2" customWidth="1"/>
    <col min="3" max="3" width="39" style="2" customWidth="1"/>
    <col min="4" max="4" width="13.44140625" style="2" customWidth="1"/>
    <col min="5" max="5" width="14.33203125" style="2" customWidth="1"/>
    <col min="6" max="6" width="12.109375" style="2" customWidth="1"/>
    <col min="7" max="7" width="11.44140625" style="2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8.6640625" style="2" customWidth="1"/>
    <col min="18" max="18" width="8.88671875" style="2"/>
    <col min="19" max="19" width="8.88671875" style="24"/>
    <col min="20" max="16384" width="8.88671875" style="2"/>
  </cols>
  <sheetData>
    <row r="1" spans="1:21" ht="28.8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2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3" t="s">
        <v>18</v>
      </c>
      <c r="T1" s="7"/>
      <c r="U1" s="1"/>
    </row>
    <row r="2" spans="1:21" x14ac:dyDescent="0.3">
      <c r="A2" s="36" t="s">
        <v>227</v>
      </c>
      <c r="B2" s="36" t="s">
        <v>35</v>
      </c>
      <c r="C2" s="36" t="s">
        <v>228</v>
      </c>
      <c r="D2" s="36"/>
      <c r="E2" s="131">
        <v>45694</v>
      </c>
      <c r="F2" s="131">
        <v>45694</v>
      </c>
      <c r="G2" s="131">
        <v>45694</v>
      </c>
      <c r="H2" s="36">
        <v>1</v>
      </c>
      <c r="I2" s="36"/>
      <c r="J2" s="36"/>
      <c r="K2" s="36"/>
      <c r="L2" s="36"/>
      <c r="M2" s="36"/>
      <c r="N2" s="36">
        <v>184</v>
      </c>
      <c r="O2" s="36"/>
      <c r="P2" s="36"/>
      <c r="Q2" s="36"/>
      <c r="R2" s="36"/>
      <c r="S2" s="24">
        <f>SUM(N2:R2)</f>
        <v>184</v>
      </c>
    </row>
    <row r="3" spans="1:21" x14ac:dyDescent="0.3">
      <c r="A3" s="2" t="s">
        <v>229</v>
      </c>
      <c r="B3" s="2" t="s">
        <v>34</v>
      </c>
      <c r="C3" s="2" t="s">
        <v>202</v>
      </c>
      <c r="E3" s="57">
        <v>45716</v>
      </c>
      <c r="F3" s="57">
        <v>45716</v>
      </c>
      <c r="G3" s="57">
        <v>45716</v>
      </c>
      <c r="N3" s="2">
        <v>3152</v>
      </c>
      <c r="S3" s="24">
        <f>SUM(N3:R3)</f>
        <v>3152</v>
      </c>
    </row>
    <row r="4" spans="1:21" ht="28.8" x14ac:dyDescent="0.3">
      <c r="A4" s="2" t="s">
        <v>78</v>
      </c>
      <c r="B4" s="2" t="s">
        <v>35</v>
      </c>
      <c r="C4" s="59" t="s">
        <v>106</v>
      </c>
      <c r="E4" s="2" t="s">
        <v>107</v>
      </c>
      <c r="F4" s="57">
        <v>45728</v>
      </c>
      <c r="G4" s="57">
        <v>45730</v>
      </c>
      <c r="H4" s="2">
        <v>3</v>
      </c>
      <c r="I4" s="2" t="s">
        <v>54</v>
      </c>
      <c r="J4" s="2" t="s">
        <v>65</v>
      </c>
      <c r="L4" s="2">
        <v>177</v>
      </c>
      <c r="N4" s="2">
        <v>1300</v>
      </c>
      <c r="O4" s="2">
        <v>172.5</v>
      </c>
      <c r="P4" s="2">
        <v>904</v>
      </c>
      <c r="S4" s="24">
        <f t="shared" ref="S4:S73" si="0">SUM(N4:R4)</f>
        <v>2376.5</v>
      </c>
    </row>
    <row r="5" spans="1:21" x14ac:dyDescent="0.3">
      <c r="A5" s="2" t="s">
        <v>144</v>
      </c>
      <c r="B5" s="2" t="s">
        <v>34</v>
      </c>
      <c r="C5" s="2" t="s">
        <v>147</v>
      </c>
      <c r="E5" s="2" t="s">
        <v>148</v>
      </c>
      <c r="F5" s="57">
        <v>45735</v>
      </c>
      <c r="G5" s="57">
        <v>45736</v>
      </c>
      <c r="H5" s="2">
        <v>2</v>
      </c>
      <c r="I5" s="2" t="s">
        <v>54</v>
      </c>
      <c r="J5" s="2" t="s">
        <v>55</v>
      </c>
      <c r="L5" s="2">
        <v>198</v>
      </c>
      <c r="N5" s="2">
        <v>567</v>
      </c>
      <c r="O5" s="2">
        <v>115</v>
      </c>
      <c r="P5" s="2">
        <v>480</v>
      </c>
      <c r="Q5" s="2">
        <v>573</v>
      </c>
      <c r="R5" s="2">
        <v>100</v>
      </c>
      <c r="S5" s="24">
        <f t="shared" si="0"/>
        <v>1835</v>
      </c>
    </row>
    <row r="6" spans="1:21" x14ac:dyDescent="0.3">
      <c r="A6" s="2" t="s">
        <v>145</v>
      </c>
      <c r="B6" s="2" t="s">
        <v>34</v>
      </c>
      <c r="C6" s="2" t="s">
        <v>147</v>
      </c>
      <c r="E6" s="2" t="s">
        <v>148</v>
      </c>
      <c r="F6" s="57">
        <v>45735</v>
      </c>
      <c r="G6" s="57">
        <v>45736</v>
      </c>
      <c r="H6" s="2">
        <v>2</v>
      </c>
      <c r="I6" s="2" t="s">
        <v>54</v>
      </c>
      <c r="J6" s="2" t="s">
        <v>55</v>
      </c>
      <c r="L6" s="2">
        <v>197</v>
      </c>
      <c r="N6" s="2">
        <v>567</v>
      </c>
      <c r="O6" s="2">
        <v>115</v>
      </c>
      <c r="P6" s="2">
        <v>480</v>
      </c>
      <c r="Q6" s="2">
        <v>573</v>
      </c>
      <c r="R6" s="2">
        <v>100</v>
      </c>
      <c r="S6" s="24">
        <f t="shared" si="0"/>
        <v>1835</v>
      </c>
    </row>
    <row r="7" spans="1:21" x14ac:dyDescent="0.3">
      <c r="A7" s="2" t="s">
        <v>146</v>
      </c>
      <c r="B7" s="2" t="s">
        <v>34</v>
      </c>
      <c r="C7" s="2" t="s">
        <v>147</v>
      </c>
      <c r="E7" s="2" t="s">
        <v>148</v>
      </c>
      <c r="F7" s="57">
        <v>45735</v>
      </c>
      <c r="G7" s="57">
        <v>45736</v>
      </c>
      <c r="H7" s="2">
        <v>2</v>
      </c>
      <c r="I7" s="2" t="s">
        <v>54</v>
      </c>
      <c r="J7" s="2" t="s">
        <v>55</v>
      </c>
      <c r="L7" s="2">
        <v>199</v>
      </c>
      <c r="N7" s="2">
        <v>567</v>
      </c>
      <c r="O7" s="2">
        <v>115</v>
      </c>
      <c r="P7" s="2">
        <v>480</v>
      </c>
      <c r="Q7" s="2">
        <v>573</v>
      </c>
      <c r="R7" s="2">
        <v>100</v>
      </c>
      <c r="S7" s="24">
        <f t="shared" si="0"/>
        <v>1835</v>
      </c>
    </row>
    <row r="8" spans="1:21" x14ac:dyDescent="0.3">
      <c r="A8" s="2" t="s">
        <v>229</v>
      </c>
      <c r="B8" s="2" t="s">
        <v>34</v>
      </c>
      <c r="C8" s="2" t="s">
        <v>230</v>
      </c>
      <c r="E8" s="57">
        <v>45747</v>
      </c>
      <c r="F8" s="57">
        <v>45747</v>
      </c>
      <c r="G8" s="57">
        <v>45747</v>
      </c>
      <c r="H8" s="2">
        <v>1</v>
      </c>
      <c r="N8" s="2">
        <v>3546</v>
      </c>
      <c r="S8" s="24">
        <f t="shared" si="0"/>
        <v>3546</v>
      </c>
    </row>
    <row r="9" spans="1:21" ht="28.8" x14ac:dyDescent="0.3">
      <c r="A9" s="2" t="s">
        <v>192</v>
      </c>
      <c r="B9" s="1" t="s">
        <v>36</v>
      </c>
      <c r="C9" s="2" t="s">
        <v>193</v>
      </c>
      <c r="E9" s="57">
        <v>45771</v>
      </c>
      <c r="F9" s="57">
        <v>45771</v>
      </c>
      <c r="G9" s="57">
        <v>45771</v>
      </c>
      <c r="H9" s="2">
        <v>1</v>
      </c>
      <c r="I9" s="2" t="s">
        <v>54</v>
      </c>
      <c r="J9" s="2" t="s">
        <v>55</v>
      </c>
      <c r="L9" s="2">
        <v>356</v>
      </c>
      <c r="O9" s="2">
        <v>57.5</v>
      </c>
      <c r="P9" s="2">
        <v>587</v>
      </c>
      <c r="Q9" s="2">
        <v>713</v>
      </c>
      <c r="R9" s="2">
        <v>100</v>
      </c>
      <c r="S9" s="24">
        <f t="shared" si="0"/>
        <v>1457.5</v>
      </c>
    </row>
    <row r="10" spans="1:21" x14ac:dyDescent="0.3">
      <c r="A10" s="2" t="s">
        <v>72</v>
      </c>
      <c r="B10" s="1" t="s">
        <v>38</v>
      </c>
      <c r="C10" s="2" t="s">
        <v>231</v>
      </c>
      <c r="E10" s="57">
        <v>45783</v>
      </c>
      <c r="F10" s="57">
        <v>45783</v>
      </c>
      <c r="G10" s="57">
        <v>45783</v>
      </c>
      <c r="H10" s="2">
        <v>1</v>
      </c>
      <c r="N10" s="2">
        <v>900</v>
      </c>
      <c r="S10" s="24">
        <f t="shared" si="0"/>
        <v>900</v>
      </c>
    </row>
    <row r="11" spans="1:21" x14ac:dyDescent="0.3">
      <c r="A11" s="2" t="s">
        <v>227</v>
      </c>
      <c r="B11" s="1" t="s">
        <v>38</v>
      </c>
      <c r="C11" s="2" t="s">
        <v>232</v>
      </c>
      <c r="E11" s="57">
        <v>45790</v>
      </c>
      <c r="F11" s="57">
        <v>45790</v>
      </c>
      <c r="G11" s="57">
        <v>45790</v>
      </c>
      <c r="H11" s="2">
        <v>1</v>
      </c>
      <c r="N11" s="2">
        <v>950</v>
      </c>
      <c r="S11" s="24">
        <f t="shared" si="0"/>
        <v>950</v>
      </c>
    </row>
    <row r="12" spans="1:21" x14ac:dyDescent="0.3">
      <c r="A12" s="2" t="s">
        <v>229</v>
      </c>
      <c r="B12" s="1" t="s">
        <v>34</v>
      </c>
      <c r="C12" s="2" t="s">
        <v>230</v>
      </c>
      <c r="E12" s="57">
        <v>45792</v>
      </c>
      <c r="F12" s="57">
        <v>45792</v>
      </c>
      <c r="G12" s="57">
        <v>45792</v>
      </c>
      <c r="H12" s="2">
        <v>1</v>
      </c>
      <c r="N12" s="2">
        <v>3546</v>
      </c>
      <c r="S12" s="24">
        <f t="shared" si="0"/>
        <v>3546</v>
      </c>
    </row>
    <row r="13" spans="1:21" x14ac:dyDescent="0.3">
      <c r="A13" s="2" t="s">
        <v>78</v>
      </c>
      <c r="B13" s="1" t="s">
        <v>38</v>
      </c>
      <c r="C13" s="2" t="s">
        <v>238</v>
      </c>
      <c r="E13" s="57">
        <v>45797</v>
      </c>
      <c r="F13" s="57">
        <v>45797</v>
      </c>
      <c r="G13" s="57">
        <v>45797</v>
      </c>
      <c r="H13" s="2">
        <v>1</v>
      </c>
      <c r="N13" s="2">
        <v>252</v>
      </c>
      <c r="S13" s="24">
        <f t="shared" si="0"/>
        <v>252</v>
      </c>
    </row>
    <row r="14" spans="1:21" x14ac:dyDescent="0.3">
      <c r="A14" s="2" t="s">
        <v>146</v>
      </c>
      <c r="B14" s="1" t="s">
        <v>34</v>
      </c>
      <c r="C14" s="2" t="s">
        <v>233</v>
      </c>
      <c r="E14" s="67" t="s">
        <v>234</v>
      </c>
      <c r="F14" s="68">
        <v>45812</v>
      </c>
      <c r="G14" s="68">
        <v>45813</v>
      </c>
      <c r="H14" s="69">
        <v>2</v>
      </c>
      <c r="I14" s="2" t="s">
        <v>54</v>
      </c>
      <c r="J14" s="2" t="s">
        <v>55</v>
      </c>
      <c r="O14" s="2">
        <v>115</v>
      </c>
      <c r="P14" s="2">
        <v>553</v>
      </c>
      <c r="Q14" s="2">
        <v>654</v>
      </c>
      <c r="S14" s="24">
        <f t="shared" si="0"/>
        <v>1322</v>
      </c>
    </row>
    <row r="15" spans="1:21" ht="43.2" x14ac:dyDescent="0.3">
      <c r="A15" s="2" t="s">
        <v>78</v>
      </c>
      <c r="B15" s="2" t="s">
        <v>35</v>
      </c>
      <c r="C15" s="1" t="s">
        <v>196</v>
      </c>
      <c r="E15" s="2" t="s">
        <v>194</v>
      </c>
      <c r="F15" s="57">
        <v>45824</v>
      </c>
      <c r="G15" s="57">
        <v>45827</v>
      </c>
      <c r="H15" s="2">
        <v>4</v>
      </c>
      <c r="I15" s="2" t="s">
        <v>54</v>
      </c>
      <c r="J15" s="2" t="s">
        <v>65</v>
      </c>
      <c r="L15" s="2">
        <v>652</v>
      </c>
      <c r="N15" s="2">
        <v>1950</v>
      </c>
      <c r="O15" s="2">
        <v>230</v>
      </c>
      <c r="P15" s="2">
        <v>836</v>
      </c>
      <c r="S15" s="24">
        <f t="shared" si="0"/>
        <v>3016</v>
      </c>
    </row>
    <row r="16" spans="1:21" ht="28.8" x14ac:dyDescent="0.3">
      <c r="A16" s="2" t="s">
        <v>146</v>
      </c>
      <c r="B16" s="2" t="s">
        <v>34</v>
      </c>
      <c r="C16" s="1" t="s">
        <v>300</v>
      </c>
      <c r="E16" s="2" t="s">
        <v>301</v>
      </c>
      <c r="F16" s="57">
        <v>45924</v>
      </c>
      <c r="G16" s="57">
        <v>45925</v>
      </c>
      <c r="H16" s="2">
        <v>1</v>
      </c>
      <c r="O16" s="2">
        <v>57.5</v>
      </c>
      <c r="P16" s="2">
        <v>577</v>
      </c>
      <c r="S16" s="24">
        <f t="shared" si="0"/>
        <v>634.5</v>
      </c>
    </row>
    <row r="17" spans="1:19" x14ac:dyDescent="0.3">
      <c r="A17" s="2" t="s">
        <v>187</v>
      </c>
      <c r="B17" s="2" t="s">
        <v>37</v>
      </c>
      <c r="C17" s="2" t="s">
        <v>303</v>
      </c>
      <c r="E17" s="2" t="s">
        <v>304</v>
      </c>
      <c r="F17" s="57">
        <v>45932</v>
      </c>
      <c r="G17" s="57">
        <v>45934</v>
      </c>
      <c r="H17" s="2">
        <v>2</v>
      </c>
      <c r="O17" s="2">
        <v>350</v>
      </c>
      <c r="S17" s="24">
        <f t="shared" si="0"/>
        <v>350</v>
      </c>
    </row>
    <row r="18" spans="1:19" x14ac:dyDescent="0.3">
      <c r="A18" s="2" t="s">
        <v>72</v>
      </c>
      <c r="B18" s="2" t="s">
        <v>38</v>
      </c>
      <c r="C18" s="2" t="s">
        <v>303</v>
      </c>
      <c r="E18" s="2" t="s">
        <v>304</v>
      </c>
      <c r="F18" s="57">
        <v>45932</v>
      </c>
      <c r="G18" s="57">
        <v>45934</v>
      </c>
      <c r="H18" s="2">
        <v>2</v>
      </c>
      <c r="O18" s="2">
        <v>350</v>
      </c>
      <c r="S18" s="24">
        <f t="shared" si="0"/>
        <v>350</v>
      </c>
    </row>
    <row r="19" spans="1:19" x14ac:dyDescent="0.3">
      <c r="A19" s="2" t="s">
        <v>302</v>
      </c>
      <c r="B19" s="2" t="s">
        <v>37</v>
      </c>
      <c r="C19" s="2" t="s">
        <v>303</v>
      </c>
      <c r="E19" s="2" t="s">
        <v>304</v>
      </c>
      <c r="F19" s="57">
        <v>45932</v>
      </c>
      <c r="G19" s="57">
        <v>45934</v>
      </c>
      <c r="H19" s="2">
        <v>2</v>
      </c>
      <c r="O19" s="2">
        <v>350</v>
      </c>
      <c r="S19" s="24">
        <f t="shared" si="0"/>
        <v>350</v>
      </c>
    </row>
    <row r="20" spans="1:19" x14ac:dyDescent="0.3">
      <c r="A20" s="2" t="s">
        <v>307</v>
      </c>
      <c r="B20" s="2" t="s">
        <v>38</v>
      </c>
      <c r="C20" s="2" t="s">
        <v>73</v>
      </c>
      <c r="E20" s="57">
        <v>45953</v>
      </c>
      <c r="F20" s="57">
        <v>45953</v>
      </c>
      <c r="G20" s="57">
        <v>45953</v>
      </c>
      <c r="H20" s="2">
        <v>1</v>
      </c>
      <c r="O20" s="2">
        <v>57.5</v>
      </c>
      <c r="Q20" s="2">
        <v>661</v>
      </c>
      <c r="S20" s="24">
        <f t="shared" si="0"/>
        <v>718.5</v>
      </c>
    </row>
    <row r="21" spans="1:19" x14ac:dyDescent="0.3">
      <c r="A21" s="2" t="s">
        <v>187</v>
      </c>
      <c r="B21" s="2" t="s">
        <v>37</v>
      </c>
      <c r="C21" s="2" t="s">
        <v>351</v>
      </c>
      <c r="E21" s="57">
        <v>45973</v>
      </c>
      <c r="F21" s="57">
        <v>45973</v>
      </c>
      <c r="G21" s="57">
        <v>45973</v>
      </c>
      <c r="H21" s="2">
        <v>1</v>
      </c>
      <c r="O21" s="2">
        <v>57.5</v>
      </c>
      <c r="S21" s="24">
        <f t="shared" si="0"/>
        <v>57.5</v>
      </c>
    </row>
    <row r="22" spans="1:19" x14ac:dyDescent="0.3">
      <c r="A22" s="2" t="s">
        <v>72</v>
      </c>
      <c r="B22" s="2" t="s">
        <v>35</v>
      </c>
      <c r="C22" s="2" t="s">
        <v>351</v>
      </c>
      <c r="E22" s="57">
        <v>45973</v>
      </c>
      <c r="F22" s="57">
        <v>45973</v>
      </c>
      <c r="G22" s="57">
        <v>45973</v>
      </c>
      <c r="H22" s="2">
        <v>1</v>
      </c>
      <c r="O22" s="2">
        <v>57.5</v>
      </c>
      <c r="S22" s="24">
        <f t="shared" si="0"/>
        <v>57.5</v>
      </c>
    </row>
    <row r="23" spans="1:19" x14ac:dyDescent="0.3">
      <c r="A23" s="2" t="s">
        <v>352</v>
      </c>
      <c r="B23" s="2" t="s">
        <v>37</v>
      </c>
      <c r="C23" s="2" t="s">
        <v>351</v>
      </c>
      <c r="E23" s="57">
        <v>45973</v>
      </c>
      <c r="F23" s="57">
        <v>45973</v>
      </c>
      <c r="G23" s="57">
        <v>45973</v>
      </c>
      <c r="H23" s="2">
        <v>1</v>
      </c>
      <c r="O23" s="2">
        <v>57.5</v>
      </c>
      <c r="S23" s="24">
        <f t="shared" si="0"/>
        <v>57.5</v>
      </c>
    </row>
    <row r="24" spans="1:19" x14ac:dyDescent="0.3">
      <c r="A24" s="2" t="s">
        <v>353</v>
      </c>
      <c r="B24" s="2" t="s">
        <v>37</v>
      </c>
      <c r="C24" s="2" t="s">
        <v>351</v>
      </c>
      <c r="E24" s="57">
        <v>45973</v>
      </c>
      <c r="F24" s="57">
        <v>45973</v>
      </c>
      <c r="G24" s="57">
        <v>45973</v>
      </c>
      <c r="H24" s="2">
        <v>1</v>
      </c>
      <c r="O24" s="2">
        <v>57.5</v>
      </c>
      <c r="S24" s="24">
        <f t="shared" si="0"/>
        <v>57.5</v>
      </c>
    </row>
    <row r="25" spans="1:19" x14ac:dyDescent="0.3">
      <c r="A25" s="2" t="s">
        <v>229</v>
      </c>
      <c r="B25" s="2" t="s">
        <v>34</v>
      </c>
      <c r="C25" s="2" t="s">
        <v>322</v>
      </c>
      <c r="E25" s="57">
        <v>45979</v>
      </c>
      <c r="F25" s="57">
        <v>45979</v>
      </c>
      <c r="G25" s="57">
        <v>45979</v>
      </c>
      <c r="H25" s="2">
        <v>1</v>
      </c>
      <c r="O25" s="2">
        <v>57.5</v>
      </c>
      <c r="S25" s="24">
        <f t="shared" si="0"/>
        <v>57.5</v>
      </c>
    </row>
    <row r="26" spans="1:19" x14ac:dyDescent="0.3">
      <c r="A26" s="2" t="s">
        <v>72</v>
      </c>
      <c r="B26" s="2" t="s">
        <v>38</v>
      </c>
      <c r="C26" s="2" t="s">
        <v>354</v>
      </c>
      <c r="E26" s="2" t="s">
        <v>355</v>
      </c>
      <c r="F26" s="57">
        <v>45999</v>
      </c>
      <c r="G26" s="57">
        <v>46003</v>
      </c>
      <c r="H26" s="2">
        <v>4</v>
      </c>
      <c r="O26" s="2">
        <v>716</v>
      </c>
      <c r="S26" s="24">
        <f t="shared" si="0"/>
        <v>716</v>
      </c>
    </row>
    <row r="27" spans="1:19" x14ac:dyDescent="0.3">
      <c r="S27" s="24">
        <f t="shared" si="0"/>
        <v>0</v>
      </c>
    </row>
    <row r="28" spans="1:19" x14ac:dyDescent="0.3">
      <c r="S28" s="24">
        <f t="shared" si="0"/>
        <v>0</v>
      </c>
    </row>
    <row r="29" spans="1:19" x14ac:dyDescent="0.3">
      <c r="S29" s="24">
        <f t="shared" si="0"/>
        <v>0</v>
      </c>
    </row>
    <row r="30" spans="1:19" x14ac:dyDescent="0.3">
      <c r="S30" s="24">
        <f t="shared" si="0"/>
        <v>0</v>
      </c>
    </row>
    <row r="31" spans="1:19" x14ac:dyDescent="0.3">
      <c r="S31" s="24">
        <f t="shared" si="0"/>
        <v>0</v>
      </c>
    </row>
    <row r="32" spans="1:19" x14ac:dyDescent="0.3">
      <c r="S32" s="24">
        <f t="shared" si="0"/>
        <v>0</v>
      </c>
    </row>
    <row r="33" spans="19:19" x14ac:dyDescent="0.3">
      <c r="S33" s="24">
        <f t="shared" si="0"/>
        <v>0</v>
      </c>
    </row>
    <row r="34" spans="19:19" x14ac:dyDescent="0.3">
      <c r="S34" s="24">
        <f t="shared" si="0"/>
        <v>0</v>
      </c>
    </row>
    <row r="35" spans="19:19" x14ac:dyDescent="0.3">
      <c r="S35" s="24">
        <f t="shared" si="0"/>
        <v>0</v>
      </c>
    </row>
    <row r="36" spans="19:19" x14ac:dyDescent="0.3">
      <c r="S36" s="24">
        <f t="shared" si="0"/>
        <v>0</v>
      </c>
    </row>
    <row r="37" spans="19:19" x14ac:dyDescent="0.3">
      <c r="S37" s="24">
        <f t="shared" si="0"/>
        <v>0</v>
      </c>
    </row>
    <row r="38" spans="19:19" x14ac:dyDescent="0.3">
      <c r="S38" s="24">
        <f t="shared" si="0"/>
        <v>0</v>
      </c>
    </row>
    <row r="39" spans="19:19" x14ac:dyDescent="0.3">
      <c r="S39" s="24">
        <f t="shared" si="0"/>
        <v>0</v>
      </c>
    </row>
    <row r="40" spans="19:19" x14ac:dyDescent="0.3">
      <c r="S40" s="24">
        <f t="shared" si="0"/>
        <v>0</v>
      </c>
    </row>
    <row r="41" spans="19:19" x14ac:dyDescent="0.3">
      <c r="S41" s="24">
        <f t="shared" si="0"/>
        <v>0</v>
      </c>
    </row>
    <row r="42" spans="19:19" x14ac:dyDescent="0.3">
      <c r="S42" s="24">
        <f t="shared" si="0"/>
        <v>0</v>
      </c>
    </row>
    <row r="43" spans="19:19" x14ac:dyDescent="0.3">
      <c r="S43" s="24">
        <f t="shared" si="0"/>
        <v>0</v>
      </c>
    </row>
    <row r="44" spans="19:19" x14ac:dyDescent="0.3">
      <c r="S44" s="24">
        <f t="shared" si="0"/>
        <v>0</v>
      </c>
    </row>
    <row r="45" spans="19:19" x14ac:dyDescent="0.3">
      <c r="S45" s="24">
        <f t="shared" si="0"/>
        <v>0</v>
      </c>
    </row>
    <row r="46" spans="19:19" x14ac:dyDescent="0.3">
      <c r="S46" s="24">
        <f t="shared" si="0"/>
        <v>0</v>
      </c>
    </row>
    <row r="47" spans="19:19" x14ac:dyDescent="0.3">
      <c r="S47" s="24">
        <f t="shared" si="0"/>
        <v>0</v>
      </c>
    </row>
    <row r="48" spans="19:19" x14ac:dyDescent="0.3">
      <c r="S48" s="24">
        <f t="shared" si="0"/>
        <v>0</v>
      </c>
    </row>
    <row r="49" spans="19:19" x14ac:dyDescent="0.3">
      <c r="S49" s="24">
        <f t="shared" si="0"/>
        <v>0</v>
      </c>
    </row>
    <row r="50" spans="19:19" x14ac:dyDescent="0.3">
      <c r="S50" s="24">
        <f t="shared" si="0"/>
        <v>0</v>
      </c>
    </row>
    <row r="51" spans="19:19" x14ac:dyDescent="0.3">
      <c r="S51" s="24">
        <f t="shared" si="0"/>
        <v>0</v>
      </c>
    </row>
    <row r="52" spans="19:19" x14ac:dyDescent="0.3">
      <c r="S52" s="24">
        <f t="shared" si="0"/>
        <v>0</v>
      </c>
    </row>
    <row r="53" spans="19:19" x14ac:dyDescent="0.3">
      <c r="S53" s="24">
        <f t="shared" si="0"/>
        <v>0</v>
      </c>
    </row>
    <row r="54" spans="19:19" x14ac:dyDescent="0.3">
      <c r="S54" s="24">
        <f t="shared" si="0"/>
        <v>0</v>
      </c>
    </row>
    <row r="55" spans="19:19" x14ac:dyDescent="0.3">
      <c r="S55" s="24">
        <f t="shared" si="0"/>
        <v>0</v>
      </c>
    </row>
    <row r="56" spans="19:19" x14ac:dyDescent="0.3">
      <c r="S56" s="24">
        <f t="shared" si="0"/>
        <v>0</v>
      </c>
    </row>
    <row r="57" spans="19:19" x14ac:dyDescent="0.3">
      <c r="S57" s="24">
        <f t="shared" si="0"/>
        <v>0</v>
      </c>
    </row>
    <row r="58" spans="19:19" x14ac:dyDescent="0.3">
      <c r="S58" s="24">
        <f t="shared" si="0"/>
        <v>0</v>
      </c>
    </row>
    <row r="59" spans="19:19" x14ac:dyDescent="0.3">
      <c r="S59" s="24">
        <f t="shared" si="0"/>
        <v>0</v>
      </c>
    </row>
    <row r="60" spans="19:19" x14ac:dyDescent="0.3">
      <c r="S60" s="24">
        <f t="shared" si="0"/>
        <v>0</v>
      </c>
    </row>
    <row r="61" spans="19:19" x14ac:dyDescent="0.3">
      <c r="S61" s="24">
        <f t="shared" si="0"/>
        <v>0</v>
      </c>
    </row>
    <row r="62" spans="19:19" x14ac:dyDescent="0.3">
      <c r="S62" s="24">
        <f t="shared" si="0"/>
        <v>0</v>
      </c>
    </row>
    <row r="63" spans="19:19" x14ac:dyDescent="0.3">
      <c r="S63" s="24">
        <f t="shared" si="0"/>
        <v>0</v>
      </c>
    </row>
    <row r="64" spans="19:19" x14ac:dyDescent="0.3">
      <c r="S64" s="24">
        <f t="shared" si="0"/>
        <v>0</v>
      </c>
    </row>
    <row r="65" spans="19:19" x14ac:dyDescent="0.3">
      <c r="S65" s="24">
        <f t="shared" si="0"/>
        <v>0</v>
      </c>
    </row>
    <row r="66" spans="19:19" x14ac:dyDescent="0.3">
      <c r="S66" s="24">
        <f t="shared" si="0"/>
        <v>0</v>
      </c>
    </row>
    <row r="67" spans="19:19" x14ac:dyDescent="0.3">
      <c r="S67" s="24">
        <f t="shared" si="0"/>
        <v>0</v>
      </c>
    </row>
    <row r="68" spans="19:19" x14ac:dyDescent="0.3">
      <c r="S68" s="24">
        <f t="shared" si="0"/>
        <v>0</v>
      </c>
    </row>
    <row r="69" spans="19:19" x14ac:dyDescent="0.3">
      <c r="S69" s="24">
        <f t="shared" si="0"/>
        <v>0</v>
      </c>
    </row>
    <row r="70" spans="19:19" x14ac:dyDescent="0.3">
      <c r="S70" s="24">
        <f t="shared" si="0"/>
        <v>0</v>
      </c>
    </row>
    <row r="71" spans="19:19" x14ac:dyDescent="0.3">
      <c r="S71" s="24">
        <f t="shared" si="0"/>
        <v>0</v>
      </c>
    </row>
    <row r="72" spans="19:19" x14ac:dyDescent="0.3">
      <c r="S72" s="24">
        <f t="shared" si="0"/>
        <v>0</v>
      </c>
    </row>
    <row r="73" spans="19:19" x14ac:dyDescent="0.3">
      <c r="S73" s="24">
        <f t="shared" si="0"/>
        <v>0</v>
      </c>
    </row>
    <row r="74" spans="19:19" x14ac:dyDescent="0.3">
      <c r="S74" s="24">
        <f t="shared" ref="S74:S137" si="1">SUM(N74:R74)</f>
        <v>0</v>
      </c>
    </row>
    <row r="75" spans="19:19" x14ac:dyDescent="0.3">
      <c r="S75" s="24">
        <f t="shared" si="1"/>
        <v>0</v>
      </c>
    </row>
    <row r="76" spans="19:19" x14ac:dyDescent="0.3">
      <c r="S76" s="24">
        <f t="shared" si="1"/>
        <v>0</v>
      </c>
    </row>
    <row r="77" spans="19:19" x14ac:dyDescent="0.3">
      <c r="S77" s="24">
        <f t="shared" si="1"/>
        <v>0</v>
      </c>
    </row>
    <row r="78" spans="19:19" x14ac:dyDescent="0.3">
      <c r="S78" s="24">
        <f t="shared" si="1"/>
        <v>0</v>
      </c>
    </row>
    <row r="79" spans="19:19" x14ac:dyDescent="0.3">
      <c r="S79" s="24">
        <f t="shared" si="1"/>
        <v>0</v>
      </c>
    </row>
    <row r="80" spans="19:19" x14ac:dyDescent="0.3">
      <c r="S80" s="24">
        <f t="shared" si="1"/>
        <v>0</v>
      </c>
    </row>
    <row r="81" spans="19:19" x14ac:dyDescent="0.3">
      <c r="S81" s="24">
        <f t="shared" si="1"/>
        <v>0</v>
      </c>
    </row>
    <row r="82" spans="19:19" x14ac:dyDescent="0.3">
      <c r="S82" s="24">
        <f t="shared" si="1"/>
        <v>0</v>
      </c>
    </row>
    <row r="83" spans="19:19" x14ac:dyDescent="0.3">
      <c r="S83" s="24">
        <f t="shared" si="1"/>
        <v>0</v>
      </c>
    </row>
    <row r="84" spans="19:19" x14ac:dyDescent="0.3">
      <c r="S84" s="24">
        <f t="shared" si="1"/>
        <v>0</v>
      </c>
    </row>
    <row r="85" spans="19:19" x14ac:dyDescent="0.3">
      <c r="S85" s="24">
        <f t="shared" si="1"/>
        <v>0</v>
      </c>
    </row>
    <row r="86" spans="19:19" x14ac:dyDescent="0.3">
      <c r="S86" s="24">
        <f t="shared" si="1"/>
        <v>0</v>
      </c>
    </row>
    <row r="87" spans="19:19" x14ac:dyDescent="0.3">
      <c r="S87" s="24">
        <f t="shared" si="1"/>
        <v>0</v>
      </c>
    </row>
    <row r="88" spans="19:19" x14ac:dyDescent="0.3">
      <c r="S88" s="24">
        <f t="shared" si="1"/>
        <v>0</v>
      </c>
    </row>
    <row r="89" spans="19:19" x14ac:dyDescent="0.3">
      <c r="S89" s="24">
        <f t="shared" si="1"/>
        <v>0</v>
      </c>
    </row>
    <row r="90" spans="19:19" x14ac:dyDescent="0.3">
      <c r="S90" s="24">
        <f t="shared" si="1"/>
        <v>0</v>
      </c>
    </row>
    <row r="91" spans="19:19" x14ac:dyDescent="0.3">
      <c r="S91" s="24">
        <f t="shared" si="1"/>
        <v>0</v>
      </c>
    </row>
    <row r="92" spans="19:19" x14ac:dyDescent="0.3">
      <c r="S92" s="24">
        <f t="shared" si="1"/>
        <v>0</v>
      </c>
    </row>
    <row r="93" spans="19:19" x14ac:dyDescent="0.3">
      <c r="S93" s="24">
        <f t="shared" si="1"/>
        <v>0</v>
      </c>
    </row>
    <row r="94" spans="19:19" x14ac:dyDescent="0.3">
      <c r="S94" s="24">
        <f t="shared" si="1"/>
        <v>0</v>
      </c>
    </row>
    <row r="95" spans="19:19" x14ac:dyDescent="0.3">
      <c r="S95" s="24">
        <f t="shared" si="1"/>
        <v>0</v>
      </c>
    </row>
    <row r="96" spans="19:19" x14ac:dyDescent="0.3">
      <c r="S96" s="24">
        <f t="shared" si="1"/>
        <v>0</v>
      </c>
    </row>
    <row r="97" spans="19:19" x14ac:dyDescent="0.3">
      <c r="S97" s="24">
        <f t="shared" si="1"/>
        <v>0</v>
      </c>
    </row>
    <row r="98" spans="19:19" x14ac:dyDescent="0.3">
      <c r="S98" s="24">
        <f t="shared" si="1"/>
        <v>0</v>
      </c>
    </row>
    <row r="99" spans="19:19" x14ac:dyDescent="0.3">
      <c r="S99" s="24">
        <f t="shared" si="1"/>
        <v>0</v>
      </c>
    </row>
    <row r="100" spans="19:19" x14ac:dyDescent="0.3">
      <c r="S100" s="24">
        <f t="shared" si="1"/>
        <v>0</v>
      </c>
    </row>
    <row r="101" spans="19:19" x14ac:dyDescent="0.3">
      <c r="S101" s="24">
        <f t="shared" si="1"/>
        <v>0</v>
      </c>
    </row>
    <row r="102" spans="19:19" x14ac:dyDescent="0.3">
      <c r="S102" s="24">
        <f t="shared" si="1"/>
        <v>0</v>
      </c>
    </row>
    <row r="103" spans="19:19" x14ac:dyDescent="0.3">
      <c r="S103" s="24">
        <f t="shared" si="1"/>
        <v>0</v>
      </c>
    </row>
    <row r="104" spans="19:19" x14ac:dyDescent="0.3">
      <c r="S104" s="24">
        <f t="shared" si="1"/>
        <v>0</v>
      </c>
    </row>
    <row r="105" spans="19:19" x14ac:dyDescent="0.3">
      <c r="S105" s="24">
        <f t="shared" si="1"/>
        <v>0</v>
      </c>
    </row>
    <row r="106" spans="19:19" x14ac:dyDescent="0.3">
      <c r="S106" s="24">
        <f t="shared" si="1"/>
        <v>0</v>
      </c>
    </row>
    <row r="107" spans="19:19" x14ac:dyDescent="0.3">
      <c r="S107" s="24">
        <f t="shared" si="1"/>
        <v>0</v>
      </c>
    </row>
    <row r="108" spans="19:19" x14ac:dyDescent="0.3">
      <c r="S108" s="24">
        <f t="shared" si="1"/>
        <v>0</v>
      </c>
    </row>
    <row r="109" spans="19:19" x14ac:dyDescent="0.3">
      <c r="S109" s="24">
        <f t="shared" si="1"/>
        <v>0</v>
      </c>
    </row>
    <row r="110" spans="19:19" x14ac:dyDescent="0.3">
      <c r="S110" s="24">
        <f t="shared" si="1"/>
        <v>0</v>
      </c>
    </row>
    <row r="111" spans="19:19" x14ac:dyDescent="0.3">
      <c r="S111" s="24">
        <f t="shared" si="1"/>
        <v>0</v>
      </c>
    </row>
    <row r="112" spans="19:19" x14ac:dyDescent="0.3">
      <c r="S112" s="24">
        <f t="shared" si="1"/>
        <v>0</v>
      </c>
    </row>
    <row r="113" spans="19:19" x14ac:dyDescent="0.3">
      <c r="S113" s="24">
        <f t="shared" si="1"/>
        <v>0</v>
      </c>
    </row>
    <row r="114" spans="19:19" x14ac:dyDescent="0.3">
      <c r="S114" s="24">
        <f t="shared" si="1"/>
        <v>0</v>
      </c>
    </row>
    <row r="115" spans="19:19" x14ac:dyDescent="0.3">
      <c r="S115" s="24">
        <f t="shared" si="1"/>
        <v>0</v>
      </c>
    </row>
    <row r="116" spans="19:19" x14ac:dyDescent="0.3">
      <c r="S116" s="24">
        <f t="shared" si="1"/>
        <v>0</v>
      </c>
    </row>
    <row r="117" spans="19:19" x14ac:dyDescent="0.3">
      <c r="S117" s="24">
        <f t="shared" si="1"/>
        <v>0</v>
      </c>
    </row>
    <row r="118" spans="19:19" x14ac:dyDescent="0.3">
      <c r="S118" s="24">
        <f t="shared" si="1"/>
        <v>0</v>
      </c>
    </row>
    <row r="119" spans="19:19" x14ac:dyDescent="0.3">
      <c r="S119" s="24">
        <f t="shared" si="1"/>
        <v>0</v>
      </c>
    </row>
    <row r="120" spans="19:19" x14ac:dyDescent="0.3">
      <c r="S120" s="24">
        <f t="shared" si="1"/>
        <v>0</v>
      </c>
    </row>
    <row r="121" spans="19:19" x14ac:dyDescent="0.3">
      <c r="S121" s="24">
        <f t="shared" si="1"/>
        <v>0</v>
      </c>
    </row>
    <row r="122" spans="19:19" x14ac:dyDescent="0.3">
      <c r="S122" s="24">
        <f t="shared" si="1"/>
        <v>0</v>
      </c>
    </row>
    <row r="123" spans="19:19" x14ac:dyDescent="0.3">
      <c r="S123" s="24">
        <f t="shared" si="1"/>
        <v>0</v>
      </c>
    </row>
    <row r="124" spans="19:19" x14ac:dyDescent="0.3">
      <c r="S124" s="24">
        <f t="shared" si="1"/>
        <v>0</v>
      </c>
    </row>
    <row r="125" spans="19:19" x14ac:dyDescent="0.3">
      <c r="S125" s="24">
        <f t="shared" si="1"/>
        <v>0</v>
      </c>
    </row>
    <row r="126" spans="19:19" x14ac:dyDescent="0.3">
      <c r="S126" s="24">
        <f t="shared" si="1"/>
        <v>0</v>
      </c>
    </row>
    <row r="127" spans="19:19" x14ac:dyDescent="0.3">
      <c r="S127" s="24">
        <f t="shared" si="1"/>
        <v>0</v>
      </c>
    </row>
    <row r="128" spans="19:19" x14ac:dyDescent="0.3">
      <c r="S128" s="24">
        <f t="shared" si="1"/>
        <v>0</v>
      </c>
    </row>
    <row r="129" spans="19:19" x14ac:dyDescent="0.3">
      <c r="S129" s="24">
        <f t="shared" si="1"/>
        <v>0</v>
      </c>
    </row>
    <row r="130" spans="19:19" x14ac:dyDescent="0.3">
      <c r="S130" s="24">
        <f t="shared" si="1"/>
        <v>0</v>
      </c>
    </row>
    <row r="131" spans="19:19" x14ac:dyDescent="0.3">
      <c r="S131" s="24">
        <f t="shared" si="1"/>
        <v>0</v>
      </c>
    </row>
    <row r="132" spans="19:19" x14ac:dyDescent="0.3">
      <c r="S132" s="24">
        <f t="shared" si="1"/>
        <v>0</v>
      </c>
    </row>
    <row r="133" spans="19:19" x14ac:dyDescent="0.3">
      <c r="S133" s="24">
        <f t="shared" si="1"/>
        <v>0</v>
      </c>
    </row>
    <row r="134" spans="19:19" x14ac:dyDescent="0.3">
      <c r="S134" s="24">
        <f t="shared" si="1"/>
        <v>0</v>
      </c>
    </row>
    <row r="135" spans="19:19" x14ac:dyDescent="0.3">
      <c r="S135" s="24">
        <f t="shared" si="1"/>
        <v>0</v>
      </c>
    </row>
    <row r="136" spans="19:19" x14ac:dyDescent="0.3">
      <c r="S136" s="24">
        <f t="shared" si="1"/>
        <v>0</v>
      </c>
    </row>
    <row r="137" spans="19:19" x14ac:dyDescent="0.3">
      <c r="S137" s="24">
        <f t="shared" si="1"/>
        <v>0</v>
      </c>
    </row>
    <row r="138" spans="19:19" x14ac:dyDescent="0.3">
      <c r="S138" s="24">
        <f t="shared" ref="S138:S201" si="2">SUM(N138:R138)</f>
        <v>0</v>
      </c>
    </row>
    <row r="139" spans="19:19" x14ac:dyDescent="0.3">
      <c r="S139" s="24">
        <f t="shared" si="2"/>
        <v>0</v>
      </c>
    </row>
    <row r="140" spans="19:19" x14ac:dyDescent="0.3">
      <c r="S140" s="24">
        <f t="shared" si="2"/>
        <v>0</v>
      </c>
    </row>
    <row r="141" spans="19:19" x14ac:dyDescent="0.3">
      <c r="S141" s="24">
        <f t="shared" si="2"/>
        <v>0</v>
      </c>
    </row>
    <row r="142" spans="19:19" x14ac:dyDescent="0.3">
      <c r="S142" s="24">
        <f t="shared" si="2"/>
        <v>0</v>
      </c>
    </row>
    <row r="143" spans="19:19" x14ac:dyDescent="0.3">
      <c r="S143" s="24">
        <f t="shared" si="2"/>
        <v>0</v>
      </c>
    </row>
    <row r="144" spans="19:19" x14ac:dyDescent="0.3">
      <c r="S144" s="24">
        <f t="shared" si="2"/>
        <v>0</v>
      </c>
    </row>
    <row r="145" spans="19:19" x14ac:dyDescent="0.3">
      <c r="S145" s="24">
        <f t="shared" si="2"/>
        <v>0</v>
      </c>
    </row>
    <row r="146" spans="19:19" x14ac:dyDescent="0.3">
      <c r="S146" s="24">
        <f t="shared" si="2"/>
        <v>0</v>
      </c>
    </row>
    <row r="147" spans="19:19" x14ac:dyDescent="0.3">
      <c r="S147" s="24">
        <f t="shared" si="2"/>
        <v>0</v>
      </c>
    </row>
    <row r="148" spans="19:19" x14ac:dyDescent="0.3">
      <c r="S148" s="24">
        <f t="shared" si="2"/>
        <v>0</v>
      </c>
    </row>
    <row r="149" spans="19:19" x14ac:dyDescent="0.3">
      <c r="S149" s="24">
        <f t="shared" si="2"/>
        <v>0</v>
      </c>
    </row>
    <row r="150" spans="19:19" x14ac:dyDescent="0.3">
      <c r="S150" s="24">
        <f t="shared" si="2"/>
        <v>0</v>
      </c>
    </row>
    <row r="151" spans="19:19" x14ac:dyDescent="0.3">
      <c r="S151" s="24">
        <f t="shared" si="2"/>
        <v>0</v>
      </c>
    </row>
    <row r="152" spans="19:19" x14ac:dyDescent="0.3">
      <c r="S152" s="24">
        <f t="shared" si="2"/>
        <v>0</v>
      </c>
    </row>
    <row r="153" spans="19:19" x14ac:dyDescent="0.3">
      <c r="S153" s="24">
        <f t="shared" si="2"/>
        <v>0</v>
      </c>
    </row>
    <row r="154" spans="19:19" x14ac:dyDescent="0.3">
      <c r="S154" s="24">
        <f t="shared" si="2"/>
        <v>0</v>
      </c>
    </row>
    <row r="155" spans="19:19" x14ac:dyDescent="0.3">
      <c r="S155" s="24">
        <f t="shared" si="2"/>
        <v>0</v>
      </c>
    </row>
    <row r="156" spans="19:19" x14ac:dyDescent="0.3">
      <c r="S156" s="24">
        <f t="shared" si="2"/>
        <v>0</v>
      </c>
    </row>
    <row r="157" spans="19:19" x14ac:dyDescent="0.3">
      <c r="S157" s="24">
        <f t="shared" si="2"/>
        <v>0</v>
      </c>
    </row>
    <row r="158" spans="19:19" x14ac:dyDescent="0.3">
      <c r="S158" s="24">
        <f t="shared" si="2"/>
        <v>0</v>
      </c>
    </row>
    <row r="159" spans="19:19" x14ac:dyDescent="0.3">
      <c r="S159" s="24">
        <f t="shared" si="2"/>
        <v>0</v>
      </c>
    </row>
    <row r="160" spans="19:19" x14ac:dyDescent="0.3">
      <c r="S160" s="24">
        <f t="shared" si="2"/>
        <v>0</v>
      </c>
    </row>
    <row r="161" spans="19:19" x14ac:dyDescent="0.3">
      <c r="S161" s="24">
        <f t="shared" si="2"/>
        <v>0</v>
      </c>
    </row>
    <row r="162" spans="19:19" x14ac:dyDescent="0.3">
      <c r="S162" s="24">
        <f t="shared" si="2"/>
        <v>0</v>
      </c>
    </row>
    <row r="163" spans="19:19" x14ac:dyDescent="0.3">
      <c r="S163" s="24">
        <f t="shared" si="2"/>
        <v>0</v>
      </c>
    </row>
    <row r="164" spans="19:19" x14ac:dyDescent="0.3">
      <c r="S164" s="24">
        <f t="shared" si="2"/>
        <v>0</v>
      </c>
    </row>
    <row r="165" spans="19:19" x14ac:dyDescent="0.3">
      <c r="S165" s="24">
        <f t="shared" si="2"/>
        <v>0</v>
      </c>
    </row>
    <row r="166" spans="19:19" x14ac:dyDescent="0.3">
      <c r="S166" s="24">
        <f t="shared" si="2"/>
        <v>0</v>
      </c>
    </row>
    <row r="167" spans="19:19" x14ac:dyDescent="0.3">
      <c r="S167" s="24">
        <f t="shared" si="2"/>
        <v>0</v>
      </c>
    </row>
    <row r="168" spans="19:19" x14ac:dyDescent="0.3">
      <c r="S168" s="24">
        <f t="shared" si="2"/>
        <v>0</v>
      </c>
    </row>
    <row r="169" spans="19:19" x14ac:dyDescent="0.3">
      <c r="S169" s="24">
        <f t="shared" si="2"/>
        <v>0</v>
      </c>
    </row>
    <row r="170" spans="19:19" x14ac:dyDescent="0.3">
      <c r="S170" s="24">
        <f t="shared" si="2"/>
        <v>0</v>
      </c>
    </row>
    <row r="171" spans="19:19" x14ac:dyDescent="0.3">
      <c r="S171" s="24">
        <f t="shared" si="2"/>
        <v>0</v>
      </c>
    </row>
    <row r="172" spans="19:19" x14ac:dyDescent="0.3">
      <c r="S172" s="24">
        <f t="shared" si="2"/>
        <v>0</v>
      </c>
    </row>
    <row r="173" spans="19:19" x14ac:dyDescent="0.3">
      <c r="S173" s="24">
        <f t="shared" si="2"/>
        <v>0</v>
      </c>
    </row>
    <row r="174" spans="19:19" x14ac:dyDescent="0.3">
      <c r="S174" s="24">
        <f t="shared" si="2"/>
        <v>0</v>
      </c>
    </row>
    <row r="175" spans="19:19" x14ac:dyDescent="0.3">
      <c r="S175" s="24">
        <f t="shared" si="2"/>
        <v>0</v>
      </c>
    </row>
    <row r="176" spans="19:19" x14ac:dyDescent="0.3">
      <c r="S176" s="24">
        <f t="shared" si="2"/>
        <v>0</v>
      </c>
    </row>
    <row r="177" spans="19:19" x14ac:dyDescent="0.3">
      <c r="S177" s="24">
        <f t="shared" si="2"/>
        <v>0</v>
      </c>
    </row>
    <row r="178" spans="19:19" x14ac:dyDescent="0.3">
      <c r="S178" s="24">
        <f t="shared" si="2"/>
        <v>0</v>
      </c>
    </row>
    <row r="179" spans="19:19" x14ac:dyDescent="0.3">
      <c r="S179" s="24">
        <f t="shared" si="2"/>
        <v>0</v>
      </c>
    </row>
    <row r="180" spans="19:19" x14ac:dyDescent="0.3">
      <c r="S180" s="24">
        <f t="shared" si="2"/>
        <v>0</v>
      </c>
    </row>
    <row r="181" spans="19:19" x14ac:dyDescent="0.3">
      <c r="S181" s="24">
        <f t="shared" si="2"/>
        <v>0</v>
      </c>
    </row>
    <row r="182" spans="19:19" x14ac:dyDescent="0.3">
      <c r="S182" s="24">
        <f t="shared" si="2"/>
        <v>0</v>
      </c>
    </row>
    <row r="183" spans="19:19" x14ac:dyDescent="0.3">
      <c r="S183" s="24">
        <f t="shared" si="2"/>
        <v>0</v>
      </c>
    </row>
    <row r="184" spans="19:19" x14ac:dyDescent="0.3">
      <c r="S184" s="24">
        <f t="shared" si="2"/>
        <v>0</v>
      </c>
    </row>
    <row r="185" spans="19:19" x14ac:dyDescent="0.3">
      <c r="S185" s="24">
        <f t="shared" si="2"/>
        <v>0</v>
      </c>
    </row>
    <row r="186" spans="19:19" x14ac:dyDescent="0.3">
      <c r="S186" s="24">
        <f t="shared" si="2"/>
        <v>0</v>
      </c>
    </row>
    <row r="187" spans="19:19" x14ac:dyDescent="0.3">
      <c r="S187" s="24">
        <f t="shared" si="2"/>
        <v>0</v>
      </c>
    </row>
    <row r="188" spans="19:19" x14ac:dyDescent="0.3">
      <c r="S188" s="24">
        <f t="shared" si="2"/>
        <v>0</v>
      </c>
    </row>
    <row r="189" spans="19:19" x14ac:dyDescent="0.3">
      <c r="S189" s="24">
        <f t="shared" si="2"/>
        <v>0</v>
      </c>
    </row>
    <row r="190" spans="19:19" x14ac:dyDescent="0.3">
      <c r="S190" s="24">
        <f t="shared" si="2"/>
        <v>0</v>
      </c>
    </row>
    <row r="191" spans="19:19" x14ac:dyDescent="0.3">
      <c r="S191" s="24">
        <f t="shared" si="2"/>
        <v>0</v>
      </c>
    </row>
    <row r="192" spans="19:19" x14ac:dyDescent="0.3">
      <c r="S192" s="24">
        <f t="shared" si="2"/>
        <v>0</v>
      </c>
    </row>
    <row r="193" spans="19:19" x14ac:dyDescent="0.3">
      <c r="S193" s="24">
        <f t="shared" si="2"/>
        <v>0</v>
      </c>
    </row>
    <row r="194" spans="19:19" x14ac:dyDescent="0.3">
      <c r="S194" s="24">
        <f t="shared" si="2"/>
        <v>0</v>
      </c>
    </row>
    <row r="195" spans="19:19" x14ac:dyDescent="0.3">
      <c r="S195" s="24">
        <f t="shared" si="2"/>
        <v>0</v>
      </c>
    </row>
    <row r="196" spans="19:19" x14ac:dyDescent="0.3">
      <c r="S196" s="24">
        <f t="shared" si="2"/>
        <v>0</v>
      </c>
    </row>
    <row r="197" spans="19:19" x14ac:dyDescent="0.3">
      <c r="S197" s="24">
        <f t="shared" si="2"/>
        <v>0</v>
      </c>
    </row>
    <row r="198" spans="19:19" x14ac:dyDescent="0.3">
      <c r="S198" s="24">
        <f t="shared" si="2"/>
        <v>0</v>
      </c>
    </row>
    <row r="199" spans="19:19" x14ac:dyDescent="0.3">
      <c r="S199" s="24">
        <f t="shared" si="2"/>
        <v>0</v>
      </c>
    </row>
    <row r="200" spans="19:19" x14ac:dyDescent="0.3">
      <c r="S200" s="24">
        <f t="shared" si="2"/>
        <v>0</v>
      </c>
    </row>
    <row r="201" spans="19:19" x14ac:dyDescent="0.3">
      <c r="S201" s="24">
        <f t="shared" si="2"/>
        <v>0</v>
      </c>
    </row>
    <row r="202" spans="19:19" x14ac:dyDescent="0.3">
      <c r="S202" s="24">
        <f t="shared" ref="S202:S265" si="3">SUM(N202:R202)</f>
        <v>0</v>
      </c>
    </row>
    <row r="203" spans="19:19" x14ac:dyDescent="0.3">
      <c r="S203" s="24">
        <f t="shared" si="3"/>
        <v>0</v>
      </c>
    </row>
    <row r="204" spans="19:19" x14ac:dyDescent="0.3">
      <c r="S204" s="24">
        <f t="shared" si="3"/>
        <v>0</v>
      </c>
    </row>
    <row r="205" spans="19:19" x14ac:dyDescent="0.3">
      <c r="S205" s="24">
        <f t="shared" si="3"/>
        <v>0</v>
      </c>
    </row>
    <row r="206" spans="19:19" x14ac:dyDescent="0.3">
      <c r="S206" s="24">
        <f t="shared" si="3"/>
        <v>0</v>
      </c>
    </row>
    <row r="207" spans="19:19" x14ac:dyDescent="0.3">
      <c r="S207" s="24">
        <f t="shared" si="3"/>
        <v>0</v>
      </c>
    </row>
    <row r="208" spans="19:19" x14ac:dyDescent="0.3">
      <c r="S208" s="24">
        <f t="shared" si="3"/>
        <v>0</v>
      </c>
    </row>
    <row r="209" spans="19:19" x14ac:dyDescent="0.3">
      <c r="S209" s="24">
        <f t="shared" si="3"/>
        <v>0</v>
      </c>
    </row>
    <row r="210" spans="19:19" x14ac:dyDescent="0.3">
      <c r="S210" s="24">
        <f t="shared" si="3"/>
        <v>0</v>
      </c>
    </row>
    <row r="211" spans="19:19" x14ac:dyDescent="0.3">
      <c r="S211" s="24">
        <f t="shared" si="3"/>
        <v>0</v>
      </c>
    </row>
    <row r="212" spans="19:19" x14ac:dyDescent="0.3">
      <c r="S212" s="24">
        <f t="shared" si="3"/>
        <v>0</v>
      </c>
    </row>
    <row r="213" spans="19:19" x14ac:dyDescent="0.3">
      <c r="S213" s="24">
        <f t="shared" si="3"/>
        <v>0</v>
      </c>
    </row>
    <row r="214" spans="19:19" x14ac:dyDescent="0.3">
      <c r="S214" s="24">
        <f t="shared" si="3"/>
        <v>0</v>
      </c>
    </row>
    <row r="215" spans="19:19" x14ac:dyDescent="0.3">
      <c r="S215" s="24">
        <f t="shared" si="3"/>
        <v>0</v>
      </c>
    </row>
    <row r="216" spans="19:19" x14ac:dyDescent="0.3">
      <c r="S216" s="24">
        <f t="shared" si="3"/>
        <v>0</v>
      </c>
    </row>
    <row r="217" spans="19:19" x14ac:dyDescent="0.3">
      <c r="S217" s="24">
        <f t="shared" si="3"/>
        <v>0</v>
      </c>
    </row>
    <row r="218" spans="19:19" x14ac:dyDescent="0.3">
      <c r="S218" s="24">
        <f t="shared" si="3"/>
        <v>0</v>
      </c>
    </row>
    <row r="219" spans="19:19" x14ac:dyDescent="0.3">
      <c r="S219" s="24">
        <f t="shared" si="3"/>
        <v>0</v>
      </c>
    </row>
    <row r="220" spans="19:19" x14ac:dyDescent="0.3">
      <c r="S220" s="24">
        <f t="shared" si="3"/>
        <v>0</v>
      </c>
    </row>
    <row r="221" spans="19:19" x14ac:dyDescent="0.3">
      <c r="S221" s="24">
        <f t="shared" si="3"/>
        <v>0</v>
      </c>
    </row>
    <row r="222" spans="19:19" x14ac:dyDescent="0.3">
      <c r="S222" s="24">
        <f t="shared" si="3"/>
        <v>0</v>
      </c>
    </row>
    <row r="223" spans="19:19" x14ac:dyDescent="0.3">
      <c r="S223" s="24">
        <f t="shared" si="3"/>
        <v>0</v>
      </c>
    </row>
    <row r="224" spans="19:19" x14ac:dyDescent="0.3">
      <c r="S224" s="24">
        <f t="shared" si="3"/>
        <v>0</v>
      </c>
    </row>
    <row r="225" spans="19:19" x14ac:dyDescent="0.3">
      <c r="S225" s="24">
        <f t="shared" si="3"/>
        <v>0</v>
      </c>
    </row>
    <row r="226" spans="19:19" x14ac:dyDescent="0.3">
      <c r="S226" s="24">
        <f t="shared" si="3"/>
        <v>0</v>
      </c>
    </row>
    <row r="227" spans="19:19" x14ac:dyDescent="0.3">
      <c r="S227" s="24">
        <f t="shared" si="3"/>
        <v>0</v>
      </c>
    </row>
    <row r="228" spans="19:19" x14ac:dyDescent="0.3">
      <c r="S228" s="24">
        <f t="shared" si="3"/>
        <v>0</v>
      </c>
    </row>
    <row r="229" spans="19:19" x14ac:dyDescent="0.3">
      <c r="S229" s="24">
        <f t="shared" si="3"/>
        <v>0</v>
      </c>
    </row>
    <row r="230" spans="19:19" x14ac:dyDescent="0.3">
      <c r="S230" s="24">
        <f t="shared" si="3"/>
        <v>0</v>
      </c>
    </row>
    <row r="231" spans="19:19" x14ac:dyDescent="0.3">
      <c r="S231" s="24">
        <f t="shared" si="3"/>
        <v>0</v>
      </c>
    </row>
    <row r="232" spans="19:19" x14ac:dyDescent="0.3">
      <c r="S232" s="24">
        <f t="shared" si="3"/>
        <v>0</v>
      </c>
    </row>
    <row r="233" spans="19:19" x14ac:dyDescent="0.3">
      <c r="S233" s="24">
        <f t="shared" si="3"/>
        <v>0</v>
      </c>
    </row>
    <row r="234" spans="19:19" x14ac:dyDescent="0.3">
      <c r="S234" s="24">
        <f t="shared" si="3"/>
        <v>0</v>
      </c>
    </row>
    <row r="235" spans="19:19" x14ac:dyDescent="0.3">
      <c r="S235" s="24">
        <f t="shared" si="3"/>
        <v>0</v>
      </c>
    </row>
    <row r="236" spans="19:19" x14ac:dyDescent="0.3">
      <c r="S236" s="24">
        <f t="shared" si="3"/>
        <v>0</v>
      </c>
    </row>
    <row r="237" spans="19:19" x14ac:dyDescent="0.3">
      <c r="S237" s="24">
        <f t="shared" si="3"/>
        <v>0</v>
      </c>
    </row>
    <row r="238" spans="19:19" x14ac:dyDescent="0.3">
      <c r="S238" s="24">
        <f t="shared" si="3"/>
        <v>0</v>
      </c>
    </row>
    <row r="239" spans="19:19" x14ac:dyDescent="0.3">
      <c r="S239" s="24">
        <f t="shared" si="3"/>
        <v>0</v>
      </c>
    </row>
    <row r="240" spans="19:19" x14ac:dyDescent="0.3">
      <c r="S240" s="24">
        <f t="shared" si="3"/>
        <v>0</v>
      </c>
    </row>
    <row r="241" spans="19:19" x14ac:dyDescent="0.3">
      <c r="S241" s="24">
        <f t="shared" si="3"/>
        <v>0</v>
      </c>
    </row>
    <row r="242" spans="19:19" x14ac:dyDescent="0.3">
      <c r="S242" s="24">
        <f t="shared" si="3"/>
        <v>0</v>
      </c>
    </row>
    <row r="243" spans="19:19" x14ac:dyDescent="0.3">
      <c r="S243" s="24">
        <f t="shared" si="3"/>
        <v>0</v>
      </c>
    </row>
    <row r="244" spans="19:19" x14ac:dyDescent="0.3">
      <c r="S244" s="24">
        <f t="shared" si="3"/>
        <v>0</v>
      </c>
    </row>
    <row r="245" spans="19:19" x14ac:dyDescent="0.3">
      <c r="S245" s="24">
        <f t="shared" si="3"/>
        <v>0</v>
      </c>
    </row>
    <row r="246" spans="19:19" x14ac:dyDescent="0.3">
      <c r="S246" s="24">
        <f t="shared" si="3"/>
        <v>0</v>
      </c>
    </row>
    <row r="247" spans="19:19" x14ac:dyDescent="0.3">
      <c r="S247" s="24">
        <f t="shared" si="3"/>
        <v>0</v>
      </c>
    </row>
    <row r="248" spans="19:19" x14ac:dyDescent="0.3">
      <c r="S248" s="24">
        <f t="shared" si="3"/>
        <v>0</v>
      </c>
    </row>
    <row r="249" spans="19:19" x14ac:dyDescent="0.3">
      <c r="S249" s="24">
        <f t="shared" si="3"/>
        <v>0</v>
      </c>
    </row>
    <row r="250" spans="19:19" x14ac:dyDescent="0.3">
      <c r="S250" s="24">
        <f t="shared" si="3"/>
        <v>0</v>
      </c>
    </row>
    <row r="251" spans="19:19" x14ac:dyDescent="0.3">
      <c r="S251" s="24">
        <f t="shared" si="3"/>
        <v>0</v>
      </c>
    </row>
    <row r="252" spans="19:19" x14ac:dyDescent="0.3">
      <c r="S252" s="24">
        <f t="shared" si="3"/>
        <v>0</v>
      </c>
    </row>
    <row r="253" spans="19:19" x14ac:dyDescent="0.3">
      <c r="S253" s="24">
        <f t="shared" si="3"/>
        <v>0</v>
      </c>
    </row>
    <row r="254" spans="19:19" x14ac:dyDescent="0.3">
      <c r="S254" s="24">
        <f t="shared" si="3"/>
        <v>0</v>
      </c>
    </row>
    <row r="255" spans="19:19" x14ac:dyDescent="0.3">
      <c r="S255" s="24">
        <f t="shared" si="3"/>
        <v>0</v>
      </c>
    </row>
    <row r="256" spans="19:19" x14ac:dyDescent="0.3">
      <c r="S256" s="24">
        <f t="shared" si="3"/>
        <v>0</v>
      </c>
    </row>
    <row r="257" spans="19:19" x14ac:dyDescent="0.3">
      <c r="S257" s="24">
        <f t="shared" si="3"/>
        <v>0</v>
      </c>
    </row>
    <row r="258" spans="19:19" x14ac:dyDescent="0.3">
      <c r="S258" s="24">
        <f t="shared" si="3"/>
        <v>0</v>
      </c>
    </row>
    <row r="259" spans="19:19" x14ac:dyDescent="0.3">
      <c r="S259" s="24">
        <f t="shared" si="3"/>
        <v>0</v>
      </c>
    </row>
    <row r="260" spans="19:19" x14ac:dyDescent="0.3">
      <c r="S260" s="24">
        <f t="shared" si="3"/>
        <v>0</v>
      </c>
    </row>
    <row r="261" spans="19:19" x14ac:dyDescent="0.3">
      <c r="S261" s="24">
        <f t="shared" si="3"/>
        <v>0</v>
      </c>
    </row>
    <row r="262" spans="19:19" x14ac:dyDescent="0.3">
      <c r="S262" s="24">
        <f t="shared" si="3"/>
        <v>0</v>
      </c>
    </row>
    <row r="263" spans="19:19" x14ac:dyDescent="0.3">
      <c r="S263" s="24">
        <f t="shared" si="3"/>
        <v>0</v>
      </c>
    </row>
    <row r="264" spans="19:19" x14ac:dyDescent="0.3">
      <c r="S264" s="24">
        <f t="shared" si="3"/>
        <v>0</v>
      </c>
    </row>
    <row r="265" spans="19:19" x14ac:dyDescent="0.3">
      <c r="S265" s="24">
        <f t="shared" si="3"/>
        <v>0</v>
      </c>
    </row>
    <row r="266" spans="19:19" x14ac:dyDescent="0.3">
      <c r="S266" s="24">
        <f t="shared" ref="S266:S329" si="4">SUM(N266:R266)</f>
        <v>0</v>
      </c>
    </row>
    <row r="267" spans="19:19" x14ac:dyDescent="0.3">
      <c r="S267" s="24">
        <f t="shared" si="4"/>
        <v>0</v>
      </c>
    </row>
    <row r="268" spans="19:19" x14ac:dyDescent="0.3">
      <c r="S268" s="24">
        <f t="shared" si="4"/>
        <v>0</v>
      </c>
    </row>
    <row r="269" spans="19:19" x14ac:dyDescent="0.3">
      <c r="S269" s="24">
        <f t="shared" si="4"/>
        <v>0</v>
      </c>
    </row>
    <row r="270" spans="19:19" x14ac:dyDescent="0.3">
      <c r="S270" s="24">
        <f t="shared" si="4"/>
        <v>0</v>
      </c>
    </row>
    <row r="271" spans="19:19" x14ac:dyDescent="0.3">
      <c r="S271" s="24">
        <f t="shared" si="4"/>
        <v>0</v>
      </c>
    </row>
    <row r="272" spans="19:19" x14ac:dyDescent="0.3">
      <c r="S272" s="24">
        <f t="shared" si="4"/>
        <v>0</v>
      </c>
    </row>
    <row r="273" spans="19:19" x14ac:dyDescent="0.3">
      <c r="S273" s="24">
        <f t="shared" si="4"/>
        <v>0</v>
      </c>
    </row>
    <row r="274" spans="19:19" x14ac:dyDescent="0.3">
      <c r="S274" s="24">
        <f t="shared" si="4"/>
        <v>0</v>
      </c>
    </row>
    <row r="275" spans="19:19" x14ac:dyDescent="0.3">
      <c r="S275" s="24">
        <f t="shared" si="4"/>
        <v>0</v>
      </c>
    </row>
    <row r="276" spans="19:19" x14ac:dyDescent="0.3">
      <c r="S276" s="24">
        <f t="shared" si="4"/>
        <v>0</v>
      </c>
    </row>
    <row r="277" spans="19:19" x14ac:dyDescent="0.3">
      <c r="S277" s="24">
        <f t="shared" si="4"/>
        <v>0</v>
      </c>
    </row>
    <row r="278" spans="19:19" x14ac:dyDescent="0.3">
      <c r="S278" s="24">
        <f t="shared" si="4"/>
        <v>0</v>
      </c>
    </row>
    <row r="279" spans="19:19" x14ac:dyDescent="0.3">
      <c r="S279" s="24">
        <f t="shared" si="4"/>
        <v>0</v>
      </c>
    </row>
    <row r="280" spans="19:19" x14ac:dyDescent="0.3">
      <c r="S280" s="24">
        <f t="shared" si="4"/>
        <v>0</v>
      </c>
    </row>
    <row r="281" spans="19:19" x14ac:dyDescent="0.3">
      <c r="S281" s="24">
        <f t="shared" si="4"/>
        <v>0</v>
      </c>
    </row>
    <row r="282" spans="19:19" x14ac:dyDescent="0.3">
      <c r="S282" s="24">
        <f t="shared" si="4"/>
        <v>0</v>
      </c>
    </row>
    <row r="283" spans="19:19" x14ac:dyDescent="0.3">
      <c r="S283" s="24">
        <f t="shared" si="4"/>
        <v>0</v>
      </c>
    </row>
    <row r="284" spans="19:19" x14ac:dyDescent="0.3">
      <c r="S284" s="24">
        <f t="shared" si="4"/>
        <v>0</v>
      </c>
    </row>
    <row r="285" spans="19:19" x14ac:dyDescent="0.3">
      <c r="S285" s="24">
        <f t="shared" si="4"/>
        <v>0</v>
      </c>
    </row>
    <row r="286" spans="19:19" x14ac:dyDescent="0.3">
      <c r="S286" s="24">
        <f t="shared" si="4"/>
        <v>0</v>
      </c>
    </row>
    <row r="287" spans="19:19" x14ac:dyDescent="0.3">
      <c r="S287" s="24">
        <f t="shared" si="4"/>
        <v>0</v>
      </c>
    </row>
    <row r="288" spans="19:19" x14ac:dyDescent="0.3">
      <c r="S288" s="24">
        <f t="shared" si="4"/>
        <v>0</v>
      </c>
    </row>
    <row r="289" spans="19:19" x14ac:dyDescent="0.3">
      <c r="S289" s="24">
        <f t="shared" si="4"/>
        <v>0</v>
      </c>
    </row>
    <row r="290" spans="19:19" x14ac:dyDescent="0.3">
      <c r="S290" s="24">
        <f t="shared" si="4"/>
        <v>0</v>
      </c>
    </row>
    <row r="291" spans="19:19" x14ac:dyDescent="0.3">
      <c r="S291" s="24">
        <f t="shared" si="4"/>
        <v>0</v>
      </c>
    </row>
    <row r="292" spans="19:19" x14ac:dyDescent="0.3">
      <c r="S292" s="24">
        <f t="shared" si="4"/>
        <v>0</v>
      </c>
    </row>
    <row r="293" spans="19:19" x14ac:dyDescent="0.3">
      <c r="S293" s="24">
        <f t="shared" si="4"/>
        <v>0</v>
      </c>
    </row>
    <row r="294" spans="19:19" x14ac:dyDescent="0.3">
      <c r="S294" s="24">
        <f t="shared" si="4"/>
        <v>0</v>
      </c>
    </row>
    <row r="295" spans="19:19" x14ac:dyDescent="0.3">
      <c r="S295" s="24">
        <f t="shared" si="4"/>
        <v>0</v>
      </c>
    </row>
    <row r="296" spans="19:19" x14ac:dyDescent="0.3">
      <c r="S296" s="24">
        <f t="shared" si="4"/>
        <v>0</v>
      </c>
    </row>
    <row r="297" spans="19:19" x14ac:dyDescent="0.3">
      <c r="S297" s="24">
        <f t="shared" si="4"/>
        <v>0</v>
      </c>
    </row>
    <row r="298" spans="19:19" x14ac:dyDescent="0.3">
      <c r="S298" s="24">
        <f t="shared" si="4"/>
        <v>0</v>
      </c>
    </row>
    <row r="299" spans="19:19" x14ac:dyDescent="0.3">
      <c r="S299" s="24">
        <f t="shared" si="4"/>
        <v>0</v>
      </c>
    </row>
    <row r="300" spans="19:19" x14ac:dyDescent="0.3">
      <c r="S300" s="24">
        <f t="shared" si="4"/>
        <v>0</v>
      </c>
    </row>
    <row r="301" spans="19:19" x14ac:dyDescent="0.3">
      <c r="S301" s="24">
        <f t="shared" si="4"/>
        <v>0</v>
      </c>
    </row>
    <row r="302" spans="19:19" x14ac:dyDescent="0.3">
      <c r="S302" s="24">
        <f t="shared" si="4"/>
        <v>0</v>
      </c>
    </row>
    <row r="303" spans="19:19" x14ac:dyDescent="0.3">
      <c r="S303" s="24">
        <f t="shared" si="4"/>
        <v>0</v>
      </c>
    </row>
    <row r="304" spans="19:19" x14ac:dyDescent="0.3">
      <c r="S304" s="24">
        <f t="shared" si="4"/>
        <v>0</v>
      </c>
    </row>
    <row r="305" spans="19:19" x14ac:dyDescent="0.3">
      <c r="S305" s="24">
        <f t="shared" si="4"/>
        <v>0</v>
      </c>
    </row>
    <row r="306" spans="19:19" x14ac:dyDescent="0.3">
      <c r="S306" s="24">
        <f t="shared" si="4"/>
        <v>0</v>
      </c>
    </row>
    <row r="307" spans="19:19" x14ac:dyDescent="0.3">
      <c r="S307" s="24">
        <f t="shared" si="4"/>
        <v>0</v>
      </c>
    </row>
    <row r="308" spans="19:19" x14ac:dyDescent="0.3">
      <c r="S308" s="24">
        <f t="shared" si="4"/>
        <v>0</v>
      </c>
    </row>
    <row r="309" spans="19:19" x14ac:dyDescent="0.3">
      <c r="S309" s="24">
        <f t="shared" si="4"/>
        <v>0</v>
      </c>
    </row>
    <row r="310" spans="19:19" x14ac:dyDescent="0.3">
      <c r="S310" s="24">
        <f t="shared" si="4"/>
        <v>0</v>
      </c>
    </row>
    <row r="311" spans="19:19" x14ac:dyDescent="0.3">
      <c r="S311" s="24">
        <f t="shared" si="4"/>
        <v>0</v>
      </c>
    </row>
    <row r="312" spans="19:19" x14ac:dyDescent="0.3">
      <c r="S312" s="24">
        <f t="shared" si="4"/>
        <v>0</v>
      </c>
    </row>
    <row r="313" spans="19:19" x14ac:dyDescent="0.3">
      <c r="S313" s="24">
        <f t="shared" si="4"/>
        <v>0</v>
      </c>
    </row>
    <row r="314" spans="19:19" x14ac:dyDescent="0.3">
      <c r="S314" s="24">
        <f t="shared" si="4"/>
        <v>0</v>
      </c>
    </row>
    <row r="315" spans="19:19" x14ac:dyDescent="0.3">
      <c r="S315" s="24">
        <f t="shared" si="4"/>
        <v>0</v>
      </c>
    </row>
    <row r="316" spans="19:19" x14ac:dyDescent="0.3">
      <c r="S316" s="24">
        <f t="shared" si="4"/>
        <v>0</v>
      </c>
    </row>
    <row r="317" spans="19:19" x14ac:dyDescent="0.3">
      <c r="S317" s="24">
        <f t="shared" si="4"/>
        <v>0</v>
      </c>
    </row>
    <row r="318" spans="19:19" x14ac:dyDescent="0.3">
      <c r="S318" s="24">
        <f t="shared" si="4"/>
        <v>0</v>
      </c>
    </row>
    <row r="319" spans="19:19" x14ac:dyDescent="0.3">
      <c r="S319" s="24">
        <f t="shared" si="4"/>
        <v>0</v>
      </c>
    </row>
    <row r="320" spans="19:19" x14ac:dyDescent="0.3">
      <c r="S320" s="24">
        <f t="shared" si="4"/>
        <v>0</v>
      </c>
    </row>
    <row r="321" spans="19:19" x14ac:dyDescent="0.3">
      <c r="S321" s="24">
        <f t="shared" si="4"/>
        <v>0</v>
      </c>
    </row>
    <row r="322" spans="19:19" x14ac:dyDescent="0.3">
      <c r="S322" s="24">
        <f t="shared" si="4"/>
        <v>0</v>
      </c>
    </row>
    <row r="323" spans="19:19" x14ac:dyDescent="0.3">
      <c r="S323" s="24">
        <f t="shared" si="4"/>
        <v>0</v>
      </c>
    </row>
    <row r="324" spans="19:19" x14ac:dyDescent="0.3">
      <c r="S324" s="24">
        <f t="shared" si="4"/>
        <v>0</v>
      </c>
    </row>
    <row r="325" spans="19:19" x14ac:dyDescent="0.3">
      <c r="S325" s="24">
        <f t="shared" si="4"/>
        <v>0</v>
      </c>
    </row>
    <row r="326" spans="19:19" x14ac:dyDescent="0.3">
      <c r="S326" s="24">
        <f t="shared" si="4"/>
        <v>0</v>
      </c>
    </row>
    <row r="327" spans="19:19" x14ac:dyDescent="0.3">
      <c r="S327" s="24">
        <f t="shared" si="4"/>
        <v>0</v>
      </c>
    </row>
    <row r="328" spans="19:19" x14ac:dyDescent="0.3">
      <c r="S328" s="24">
        <f t="shared" si="4"/>
        <v>0</v>
      </c>
    </row>
    <row r="329" spans="19:19" x14ac:dyDescent="0.3">
      <c r="S329" s="24">
        <f t="shared" si="4"/>
        <v>0</v>
      </c>
    </row>
    <row r="330" spans="19:19" x14ac:dyDescent="0.3">
      <c r="S330" s="24">
        <f t="shared" ref="S330:S393" si="5">SUM(N330:R330)</f>
        <v>0</v>
      </c>
    </row>
    <row r="331" spans="19:19" x14ac:dyDescent="0.3">
      <c r="S331" s="24">
        <f t="shared" si="5"/>
        <v>0</v>
      </c>
    </row>
    <row r="332" spans="19:19" x14ac:dyDescent="0.3">
      <c r="S332" s="24">
        <f t="shared" si="5"/>
        <v>0</v>
      </c>
    </row>
    <row r="333" spans="19:19" x14ac:dyDescent="0.3">
      <c r="S333" s="24">
        <f t="shared" si="5"/>
        <v>0</v>
      </c>
    </row>
    <row r="334" spans="19:19" x14ac:dyDescent="0.3">
      <c r="S334" s="24">
        <f t="shared" si="5"/>
        <v>0</v>
      </c>
    </row>
    <row r="335" spans="19:19" x14ac:dyDescent="0.3">
      <c r="S335" s="24">
        <f t="shared" si="5"/>
        <v>0</v>
      </c>
    </row>
    <row r="336" spans="19:19" x14ac:dyDescent="0.3">
      <c r="S336" s="24">
        <f t="shared" si="5"/>
        <v>0</v>
      </c>
    </row>
    <row r="337" spans="19:19" x14ac:dyDescent="0.3">
      <c r="S337" s="24">
        <f t="shared" si="5"/>
        <v>0</v>
      </c>
    </row>
    <row r="338" spans="19:19" x14ac:dyDescent="0.3">
      <c r="S338" s="24">
        <f t="shared" si="5"/>
        <v>0</v>
      </c>
    </row>
    <row r="339" spans="19:19" x14ac:dyDescent="0.3">
      <c r="S339" s="24">
        <f t="shared" si="5"/>
        <v>0</v>
      </c>
    </row>
    <row r="340" spans="19:19" x14ac:dyDescent="0.3">
      <c r="S340" s="24">
        <f t="shared" si="5"/>
        <v>0</v>
      </c>
    </row>
    <row r="341" spans="19:19" x14ac:dyDescent="0.3">
      <c r="S341" s="24">
        <f t="shared" si="5"/>
        <v>0</v>
      </c>
    </row>
    <row r="342" spans="19:19" x14ac:dyDescent="0.3">
      <c r="S342" s="24">
        <f t="shared" si="5"/>
        <v>0</v>
      </c>
    </row>
    <row r="343" spans="19:19" x14ac:dyDescent="0.3">
      <c r="S343" s="24">
        <f t="shared" si="5"/>
        <v>0</v>
      </c>
    </row>
    <row r="344" spans="19:19" x14ac:dyDescent="0.3">
      <c r="S344" s="24">
        <f t="shared" si="5"/>
        <v>0</v>
      </c>
    </row>
    <row r="345" spans="19:19" x14ac:dyDescent="0.3">
      <c r="S345" s="24">
        <f t="shared" si="5"/>
        <v>0</v>
      </c>
    </row>
    <row r="346" spans="19:19" x14ac:dyDescent="0.3">
      <c r="S346" s="24">
        <f t="shared" si="5"/>
        <v>0</v>
      </c>
    </row>
    <row r="347" spans="19:19" x14ac:dyDescent="0.3">
      <c r="S347" s="24">
        <f t="shared" si="5"/>
        <v>0</v>
      </c>
    </row>
    <row r="348" spans="19:19" x14ac:dyDescent="0.3">
      <c r="S348" s="24">
        <f t="shared" si="5"/>
        <v>0</v>
      </c>
    </row>
    <row r="349" spans="19:19" x14ac:dyDescent="0.3">
      <c r="S349" s="24">
        <f t="shared" si="5"/>
        <v>0</v>
      </c>
    </row>
    <row r="350" spans="19:19" x14ac:dyDescent="0.3">
      <c r="S350" s="24">
        <f t="shared" si="5"/>
        <v>0</v>
      </c>
    </row>
    <row r="351" spans="19:19" x14ac:dyDescent="0.3">
      <c r="S351" s="24">
        <f t="shared" si="5"/>
        <v>0</v>
      </c>
    </row>
    <row r="352" spans="19:19" x14ac:dyDescent="0.3">
      <c r="S352" s="24">
        <f t="shared" si="5"/>
        <v>0</v>
      </c>
    </row>
    <row r="353" spans="19:19" x14ac:dyDescent="0.3">
      <c r="S353" s="24">
        <f t="shared" si="5"/>
        <v>0</v>
      </c>
    </row>
    <row r="354" spans="19:19" x14ac:dyDescent="0.3">
      <c r="S354" s="24">
        <f t="shared" si="5"/>
        <v>0</v>
      </c>
    </row>
    <row r="355" spans="19:19" x14ac:dyDescent="0.3">
      <c r="S355" s="24">
        <f t="shared" si="5"/>
        <v>0</v>
      </c>
    </row>
    <row r="356" spans="19:19" x14ac:dyDescent="0.3">
      <c r="S356" s="24">
        <f t="shared" si="5"/>
        <v>0</v>
      </c>
    </row>
    <row r="357" spans="19:19" x14ac:dyDescent="0.3">
      <c r="S357" s="24">
        <f t="shared" si="5"/>
        <v>0</v>
      </c>
    </row>
    <row r="358" spans="19:19" x14ac:dyDescent="0.3">
      <c r="S358" s="24">
        <f t="shared" si="5"/>
        <v>0</v>
      </c>
    </row>
    <row r="359" spans="19:19" x14ac:dyDescent="0.3">
      <c r="S359" s="24">
        <f t="shared" si="5"/>
        <v>0</v>
      </c>
    </row>
    <row r="360" spans="19:19" x14ac:dyDescent="0.3">
      <c r="S360" s="24">
        <f t="shared" si="5"/>
        <v>0</v>
      </c>
    </row>
    <row r="361" spans="19:19" x14ac:dyDescent="0.3">
      <c r="S361" s="24">
        <f t="shared" si="5"/>
        <v>0</v>
      </c>
    </row>
    <row r="362" spans="19:19" x14ac:dyDescent="0.3">
      <c r="S362" s="24">
        <f t="shared" si="5"/>
        <v>0</v>
      </c>
    </row>
    <row r="363" spans="19:19" x14ac:dyDescent="0.3">
      <c r="S363" s="24">
        <f t="shared" si="5"/>
        <v>0</v>
      </c>
    </row>
    <row r="364" spans="19:19" x14ac:dyDescent="0.3">
      <c r="S364" s="24">
        <f t="shared" si="5"/>
        <v>0</v>
      </c>
    </row>
    <row r="365" spans="19:19" x14ac:dyDescent="0.3">
      <c r="S365" s="24">
        <f t="shared" si="5"/>
        <v>0</v>
      </c>
    </row>
    <row r="366" spans="19:19" x14ac:dyDescent="0.3">
      <c r="S366" s="24">
        <f t="shared" si="5"/>
        <v>0</v>
      </c>
    </row>
    <row r="367" spans="19:19" x14ac:dyDescent="0.3">
      <c r="S367" s="24">
        <f t="shared" si="5"/>
        <v>0</v>
      </c>
    </row>
    <row r="368" spans="19:19" x14ac:dyDescent="0.3">
      <c r="S368" s="24">
        <f t="shared" si="5"/>
        <v>0</v>
      </c>
    </row>
    <row r="369" spans="19:19" x14ac:dyDescent="0.3">
      <c r="S369" s="24">
        <f t="shared" si="5"/>
        <v>0</v>
      </c>
    </row>
    <row r="370" spans="19:19" x14ac:dyDescent="0.3">
      <c r="S370" s="24">
        <f t="shared" si="5"/>
        <v>0</v>
      </c>
    </row>
    <row r="371" spans="19:19" x14ac:dyDescent="0.3">
      <c r="S371" s="24">
        <f t="shared" si="5"/>
        <v>0</v>
      </c>
    </row>
    <row r="372" spans="19:19" x14ac:dyDescent="0.3">
      <c r="S372" s="24">
        <f t="shared" si="5"/>
        <v>0</v>
      </c>
    </row>
    <row r="373" spans="19:19" x14ac:dyDescent="0.3">
      <c r="S373" s="24">
        <f t="shared" si="5"/>
        <v>0</v>
      </c>
    </row>
    <row r="374" spans="19:19" x14ac:dyDescent="0.3">
      <c r="S374" s="24">
        <f t="shared" si="5"/>
        <v>0</v>
      </c>
    </row>
    <row r="375" spans="19:19" x14ac:dyDescent="0.3">
      <c r="S375" s="24">
        <f t="shared" si="5"/>
        <v>0</v>
      </c>
    </row>
    <row r="376" spans="19:19" x14ac:dyDescent="0.3">
      <c r="S376" s="24">
        <f t="shared" si="5"/>
        <v>0</v>
      </c>
    </row>
    <row r="377" spans="19:19" x14ac:dyDescent="0.3">
      <c r="S377" s="24">
        <f t="shared" si="5"/>
        <v>0</v>
      </c>
    </row>
    <row r="378" spans="19:19" x14ac:dyDescent="0.3">
      <c r="S378" s="24">
        <f t="shared" si="5"/>
        <v>0</v>
      </c>
    </row>
    <row r="379" spans="19:19" x14ac:dyDescent="0.3">
      <c r="S379" s="24">
        <f t="shared" si="5"/>
        <v>0</v>
      </c>
    </row>
    <row r="380" spans="19:19" x14ac:dyDescent="0.3">
      <c r="S380" s="24">
        <f t="shared" si="5"/>
        <v>0</v>
      </c>
    </row>
    <row r="381" spans="19:19" x14ac:dyDescent="0.3">
      <c r="S381" s="24">
        <f t="shared" si="5"/>
        <v>0</v>
      </c>
    </row>
    <row r="382" spans="19:19" x14ac:dyDescent="0.3">
      <c r="S382" s="24">
        <f t="shared" si="5"/>
        <v>0</v>
      </c>
    </row>
    <row r="383" spans="19:19" x14ac:dyDescent="0.3">
      <c r="S383" s="24">
        <f t="shared" si="5"/>
        <v>0</v>
      </c>
    </row>
    <row r="384" spans="19:19" x14ac:dyDescent="0.3">
      <c r="S384" s="24">
        <f t="shared" si="5"/>
        <v>0</v>
      </c>
    </row>
    <row r="385" spans="19:19" x14ac:dyDescent="0.3">
      <c r="S385" s="24">
        <f t="shared" si="5"/>
        <v>0</v>
      </c>
    </row>
    <row r="386" spans="19:19" x14ac:dyDescent="0.3">
      <c r="S386" s="24">
        <f t="shared" si="5"/>
        <v>0</v>
      </c>
    </row>
    <row r="387" spans="19:19" x14ac:dyDescent="0.3">
      <c r="S387" s="24">
        <f t="shared" si="5"/>
        <v>0</v>
      </c>
    </row>
    <row r="388" spans="19:19" x14ac:dyDescent="0.3">
      <c r="S388" s="24">
        <f t="shared" si="5"/>
        <v>0</v>
      </c>
    </row>
    <row r="389" spans="19:19" x14ac:dyDescent="0.3">
      <c r="S389" s="24">
        <f t="shared" si="5"/>
        <v>0</v>
      </c>
    </row>
    <row r="390" spans="19:19" x14ac:dyDescent="0.3">
      <c r="S390" s="24">
        <f t="shared" si="5"/>
        <v>0</v>
      </c>
    </row>
    <row r="391" spans="19:19" x14ac:dyDescent="0.3">
      <c r="S391" s="24">
        <f t="shared" si="5"/>
        <v>0</v>
      </c>
    </row>
    <row r="392" spans="19:19" x14ac:dyDescent="0.3">
      <c r="S392" s="24">
        <f t="shared" si="5"/>
        <v>0</v>
      </c>
    </row>
    <row r="393" spans="19:19" x14ac:dyDescent="0.3">
      <c r="S393" s="24">
        <f t="shared" si="5"/>
        <v>0</v>
      </c>
    </row>
    <row r="394" spans="19:19" x14ac:dyDescent="0.3">
      <c r="S394" s="24">
        <f t="shared" ref="S394:S457" si="6">SUM(N394:R394)</f>
        <v>0</v>
      </c>
    </row>
    <row r="395" spans="19:19" x14ac:dyDescent="0.3">
      <c r="S395" s="24">
        <f t="shared" si="6"/>
        <v>0</v>
      </c>
    </row>
    <row r="396" spans="19:19" x14ac:dyDescent="0.3">
      <c r="S396" s="24">
        <f t="shared" si="6"/>
        <v>0</v>
      </c>
    </row>
    <row r="397" spans="19:19" x14ac:dyDescent="0.3">
      <c r="S397" s="24">
        <f t="shared" si="6"/>
        <v>0</v>
      </c>
    </row>
    <row r="398" spans="19:19" x14ac:dyDescent="0.3">
      <c r="S398" s="24">
        <f t="shared" si="6"/>
        <v>0</v>
      </c>
    </row>
    <row r="399" spans="19:19" x14ac:dyDescent="0.3">
      <c r="S399" s="24">
        <f t="shared" si="6"/>
        <v>0</v>
      </c>
    </row>
    <row r="400" spans="19:19" x14ac:dyDescent="0.3">
      <c r="S400" s="24">
        <f t="shared" si="6"/>
        <v>0</v>
      </c>
    </row>
    <row r="401" spans="19:19" x14ac:dyDescent="0.3">
      <c r="S401" s="24">
        <f t="shared" si="6"/>
        <v>0</v>
      </c>
    </row>
    <row r="402" spans="19:19" x14ac:dyDescent="0.3">
      <c r="S402" s="24">
        <f t="shared" si="6"/>
        <v>0</v>
      </c>
    </row>
    <row r="403" spans="19:19" x14ac:dyDescent="0.3">
      <c r="S403" s="24">
        <f t="shared" si="6"/>
        <v>0</v>
      </c>
    </row>
    <row r="404" spans="19:19" x14ac:dyDescent="0.3">
      <c r="S404" s="24">
        <f t="shared" si="6"/>
        <v>0</v>
      </c>
    </row>
    <row r="405" spans="19:19" x14ac:dyDescent="0.3">
      <c r="S405" s="24">
        <f t="shared" si="6"/>
        <v>0</v>
      </c>
    </row>
    <row r="406" spans="19:19" x14ac:dyDescent="0.3">
      <c r="S406" s="24">
        <f t="shared" si="6"/>
        <v>0</v>
      </c>
    </row>
    <row r="407" spans="19:19" x14ac:dyDescent="0.3">
      <c r="S407" s="24">
        <f t="shared" si="6"/>
        <v>0</v>
      </c>
    </row>
    <row r="408" spans="19:19" x14ac:dyDescent="0.3">
      <c r="S408" s="24">
        <f t="shared" si="6"/>
        <v>0</v>
      </c>
    </row>
    <row r="409" spans="19:19" x14ac:dyDescent="0.3">
      <c r="S409" s="24">
        <f t="shared" si="6"/>
        <v>0</v>
      </c>
    </row>
    <row r="410" spans="19:19" x14ac:dyDescent="0.3">
      <c r="S410" s="24">
        <f t="shared" si="6"/>
        <v>0</v>
      </c>
    </row>
    <row r="411" spans="19:19" x14ac:dyDescent="0.3">
      <c r="S411" s="24">
        <f t="shared" si="6"/>
        <v>0</v>
      </c>
    </row>
    <row r="412" spans="19:19" x14ac:dyDescent="0.3">
      <c r="S412" s="24">
        <f t="shared" si="6"/>
        <v>0</v>
      </c>
    </row>
    <row r="413" spans="19:19" x14ac:dyDescent="0.3">
      <c r="S413" s="24">
        <f t="shared" si="6"/>
        <v>0</v>
      </c>
    </row>
    <row r="414" spans="19:19" x14ac:dyDescent="0.3">
      <c r="S414" s="24">
        <f t="shared" si="6"/>
        <v>0</v>
      </c>
    </row>
    <row r="415" spans="19:19" x14ac:dyDescent="0.3">
      <c r="S415" s="24">
        <f t="shared" si="6"/>
        <v>0</v>
      </c>
    </row>
    <row r="416" spans="19:19" x14ac:dyDescent="0.3">
      <c r="S416" s="24">
        <f t="shared" si="6"/>
        <v>0</v>
      </c>
    </row>
    <row r="417" spans="19:19" x14ac:dyDescent="0.3">
      <c r="S417" s="24">
        <f t="shared" si="6"/>
        <v>0</v>
      </c>
    </row>
    <row r="418" spans="19:19" x14ac:dyDescent="0.3">
      <c r="S418" s="24">
        <f t="shared" si="6"/>
        <v>0</v>
      </c>
    </row>
    <row r="419" spans="19:19" x14ac:dyDescent="0.3">
      <c r="S419" s="24">
        <f t="shared" si="6"/>
        <v>0</v>
      </c>
    </row>
    <row r="420" spans="19:19" x14ac:dyDescent="0.3">
      <c r="S420" s="24">
        <f t="shared" si="6"/>
        <v>0</v>
      </c>
    </row>
    <row r="421" spans="19:19" x14ac:dyDescent="0.3">
      <c r="S421" s="24">
        <f t="shared" si="6"/>
        <v>0</v>
      </c>
    </row>
    <row r="422" spans="19:19" x14ac:dyDescent="0.3">
      <c r="S422" s="24">
        <f t="shared" si="6"/>
        <v>0</v>
      </c>
    </row>
    <row r="423" spans="19:19" x14ac:dyDescent="0.3">
      <c r="S423" s="24">
        <f t="shared" si="6"/>
        <v>0</v>
      </c>
    </row>
    <row r="424" spans="19:19" x14ac:dyDescent="0.3">
      <c r="S424" s="24">
        <f t="shared" si="6"/>
        <v>0</v>
      </c>
    </row>
    <row r="425" spans="19:19" x14ac:dyDescent="0.3">
      <c r="S425" s="24">
        <f t="shared" si="6"/>
        <v>0</v>
      </c>
    </row>
    <row r="426" spans="19:19" x14ac:dyDescent="0.3">
      <c r="S426" s="24">
        <f t="shared" si="6"/>
        <v>0</v>
      </c>
    </row>
    <row r="427" spans="19:19" x14ac:dyDescent="0.3">
      <c r="S427" s="24">
        <f t="shared" si="6"/>
        <v>0</v>
      </c>
    </row>
    <row r="428" spans="19:19" x14ac:dyDescent="0.3">
      <c r="S428" s="24">
        <f t="shared" si="6"/>
        <v>0</v>
      </c>
    </row>
    <row r="429" spans="19:19" x14ac:dyDescent="0.3">
      <c r="S429" s="24">
        <f t="shared" si="6"/>
        <v>0</v>
      </c>
    </row>
    <row r="430" spans="19:19" x14ac:dyDescent="0.3">
      <c r="S430" s="24">
        <f t="shared" si="6"/>
        <v>0</v>
      </c>
    </row>
    <row r="431" spans="19:19" x14ac:dyDescent="0.3">
      <c r="S431" s="24">
        <f t="shared" si="6"/>
        <v>0</v>
      </c>
    </row>
    <row r="432" spans="19:19" x14ac:dyDescent="0.3">
      <c r="S432" s="24">
        <f t="shared" si="6"/>
        <v>0</v>
      </c>
    </row>
    <row r="433" spans="19:19" x14ac:dyDescent="0.3">
      <c r="S433" s="24">
        <f t="shared" si="6"/>
        <v>0</v>
      </c>
    </row>
    <row r="434" spans="19:19" x14ac:dyDescent="0.3">
      <c r="S434" s="24">
        <f t="shared" si="6"/>
        <v>0</v>
      </c>
    </row>
    <row r="435" spans="19:19" x14ac:dyDescent="0.3">
      <c r="S435" s="24">
        <f t="shared" si="6"/>
        <v>0</v>
      </c>
    </row>
    <row r="436" spans="19:19" x14ac:dyDescent="0.3">
      <c r="S436" s="24">
        <f t="shared" si="6"/>
        <v>0</v>
      </c>
    </row>
    <row r="437" spans="19:19" x14ac:dyDescent="0.3">
      <c r="S437" s="24">
        <f t="shared" si="6"/>
        <v>0</v>
      </c>
    </row>
    <row r="438" spans="19:19" x14ac:dyDescent="0.3">
      <c r="S438" s="24">
        <f t="shared" si="6"/>
        <v>0</v>
      </c>
    </row>
    <row r="439" spans="19:19" x14ac:dyDescent="0.3">
      <c r="S439" s="24">
        <f t="shared" si="6"/>
        <v>0</v>
      </c>
    </row>
    <row r="440" spans="19:19" x14ac:dyDescent="0.3">
      <c r="S440" s="24">
        <f t="shared" si="6"/>
        <v>0</v>
      </c>
    </row>
    <row r="441" spans="19:19" x14ac:dyDescent="0.3">
      <c r="S441" s="24">
        <f t="shared" si="6"/>
        <v>0</v>
      </c>
    </row>
    <row r="442" spans="19:19" x14ac:dyDescent="0.3">
      <c r="S442" s="24">
        <f t="shared" si="6"/>
        <v>0</v>
      </c>
    </row>
    <row r="443" spans="19:19" x14ac:dyDescent="0.3">
      <c r="S443" s="24">
        <f t="shared" si="6"/>
        <v>0</v>
      </c>
    </row>
    <row r="444" spans="19:19" x14ac:dyDescent="0.3">
      <c r="S444" s="24">
        <f t="shared" si="6"/>
        <v>0</v>
      </c>
    </row>
    <row r="445" spans="19:19" x14ac:dyDescent="0.3">
      <c r="S445" s="24">
        <f t="shared" si="6"/>
        <v>0</v>
      </c>
    </row>
    <row r="446" spans="19:19" x14ac:dyDescent="0.3">
      <c r="S446" s="24">
        <f t="shared" si="6"/>
        <v>0</v>
      </c>
    </row>
    <row r="447" spans="19:19" x14ac:dyDescent="0.3">
      <c r="S447" s="24">
        <f t="shared" si="6"/>
        <v>0</v>
      </c>
    </row>
    <row r="448" spans="19:19" x14ac:dyDescent="0.3">
      <c r="S448" s="24">
        <f t="shared" si="6"/>
        <v>0</v>
      </c>
    </row>
    <row r="449" spans="19:19" x14ac:dyDescent="0.3">
      <c r="S449" s="24">
        <f t="shared" si="6"/>
        <v>0</v>
      </c>
    </row>
    <row r="450" spans="19:19" x14ac:dyDescent="0.3">
      <c r="S450" s="24">
        <f t="shared" si="6"/>
        <v>0</v>
      </c>
    </row>
    <row r="451" spans="19:19" x14ac:dyDescent="0.3">
      <c r="S451" s="24">
        <f t="shared" si="6"/>
        <v>0</v>
      </c>
    </row>
    <row r="452" spans="19:19" x14ac:dyDescent="0.3">
      <c r="S452" s="24">
        <f t="shared" si="6"/>
        <v>0</v>
      </c>
    </row>
    <row r="453" spans="19:19" x14ac:dyDescent="0.3">
      <c r="S453" s="24">
        <f t="shared" si="6"/>
        <v>0</v>
      </c>
    </row>
    <row r="454" spans="19:19" x14ac:dyDescent="0.3">
      <c r="S454" s="24">
        <f t="shared" si="6"/>
        <v>0</v>
      </c>
    </row>
    <row r="455" spans="19:19" x14ac:dyDescent="0.3">
      <c r="S455" s="24">
        <f t="shared" si="6"/>
        <v>0</v>
      </c>
    </row>
    <row r="456" spans="19:19" x14ac:dyDescent="0.3">
      <c r="S456" s="24">
        <f t="shared" si="6"/>
        <v>0</v>
      </c>
    </row>
    <row r="457" spans="19:19" x14ac:dyDescent="0.3">
      <c r="S457" s="24">
        <f t="shared" si="6"/>
        <v>0</v>
      </c>
    </row>
    <row r="458" spans="19:19" x14ac:dyDescent="0.3">
      <c r="S458" s="24">
        <f t="shared" ref="S458:S521" si="7">SUM(N458:R458)</f>
        <v>0</v>
      </c>
    </row>
    <row r="459" spans="19:19" x14ac:dyDescent="0.3">
      <c r="S459" s="24">
        <f t="shared" si="7"/>
        <v>0</v>
      </c>
    </row>
    <row r="460" spans="19:19" x14ac:dyDescent="0.3">
      <c r="S460" s="24">
        <f t="shared" si="7"/>
        <v>0</v>
      </c>
    </row>
    <row r="461" spans="19:19" x14ac:dyDescent="0.3">
      <c r="S461" s="24">
        <f t="shared" si="7"/>
        <v>0</v>
      </c>
    </row>
    <row r="462" spans="19:19" x14ac:dyDescent="0.3">
      <c r="S462" s="24">
        <f t="shared" si="7"/>
        <v>0</v>
      </c>
    </row>
    <row r="463" spans="19:19" x14ac:dyDescent="0.3">
      <c r="S463" s="24">
        <f t="shared" si="7"/>
        <v>0</v>
      </c>
    </row>
    <row r="464" spans="19:19" x14ac:dyDescent="0.3">
      <c r="S464" s="24">
        <f t="shared" si="7"/>
        <v>0</v>
      </c>
    </row>
    <row r="465" spans="19:19" x14ac:dyDescent="0.3">
      <c r="S465" s="24">
        <f t="shared" si="7"/>
        <v>0</v>
      </c>
    </row>
    <row r="466" spans="19:19" x14ac:dyDescent="0.3">
      <c r="S466" s="24">
        <f t="shared" si="7"/>
        <v>0</v>
      </c>
    </row>
    <row r="467" spans="19:19" x14ac:dyDescent="0.3">
      <c r="S467" s="24">
        <f t="shared" si="7"/>
        <v>0</v>
      </c>
    </row>
    <row r="468" spans="19:19" x14ac:dyDescent="0.3">
      <c r="S468" s="24">
        <f t="shared" si="7"/>
        <v>0</v>
      </c>
    </row>
    <row r="469" spans="19:19" x14ac:dyDescent="0.3">
      <c r="S469" s="24">
        <f t="shared" si="7"/>
        <v>0</v>
      </c>
    </row>
    <row r="470" spans="19:19" x14ac:dyDescent="0.3">
      <c r="S470" s="24">
        <f t="shared" si="7"/>
        <v>0</v>
      </c>
    </row>
    <row r="471" spans="19:19" x14ac:dyDescent="0.3">
      <c r="S471" s="24">
        <f t="shared" si="7"/>
        <v>0</v>
      </c>
    </row>
    <row r="472" spans="19:19" x14ac:dyDescent="0.3">
      <c r="S472" s="24">
        <f t="shared" si="7"/>
        <v>0</v>
      </c>
    </row>
    <row r="473" spans="19:19" x14ac:dyDescent="0.3">
      <c r="S473" s="24">
        <f t="shared" si="7"/>
        <v>0</v>
      </c>
    </row>
    <row r="474" spans="19:19" x14ac:dyDescent="0.3">
      <c r="S474" s="24">
        <f t="shared" si="7"/>
        <v>0</v>
      </c>
    </row>
    <row r="475" spans="19:19" x14ac:dyDescent="0.3">
      <c r="S475" s="24">
        <f t="shared" si="7"/>
        <v>0</v>
      </c>
    </row>
    <row r="476" spans="19:19" x14ac:dyDescent="0.3">
      <c r="S476" s="24">
        <f t="shared" si="7"/>
        <v>0</v>
      </c>
    </row>
    <row r="477" spans="19:19" x14ac:dyDescent="0.3">
      <c r="S477" s="24">
        <f t="shared" si="7"/>
        <v>0</v>
      </c>
    </row>
    <row r="478" spans="19:19" x14ac:dyDescent="0.3">
      <c r="S478" s="24">
        <f t="shared" si="7"/>
        <v>0</v>
      </c>
    </row>
    <row r="479" spans="19:19" x14ac:dyDescent="0.3">
      <c r="S479" s="24">
        <f t="shared" si="7"/>
        <v>0</v>
      </c>
    </row>
    <row r="480" spans="19:19" x14ac:dyDescent="0.3">
      <c r="S480" s="24">
        <f t="shared" si="7"/>
        <v>0</v>
      </c>
    </row>
    <row r="481" spans="19:19" x14ac:dyDescent="0.3">
      <c r="S481" s="24">
        <f t="shared" si="7"/>
        <v>0</v>
      </c>
    </row>
    <row r="482" spans="19:19" x14ac:dyDescent="0.3">
      <c r="S482" s="24">
        <f t="shared" si="7"/>
        <v>0</v>
      </c>
    </row>
    <row r="483" spans="19:19" x14ac:dyDescent="0.3">
      <c r="S483" s="24">
        <f t="shared" si="7"/>
        <v>0</v>
      </c>
    </row>
    <row r="484" spans="19:19" x14ac:dyDescent="0.3">
      <c r="S484" s="24">
        <f t="shared" si="7"/>
        <v>0</v>
      </c>
    </row>
    <row r="485" spans="19:19" x14ac:dyDescent="0.3">
      <c r="S485" s="24">
        <f t="shared" si="7"/>
        <v>0</v>
      </c>
    </row>
    <row r="486" spans="19:19" x14ac:dyDescent="0.3">
      <c r="S486" s="24">
        <f t="shared" si="7"/>
        <v>0</v>
      </c>
    </row>
    <row r="487" spans="19:19" x14ac:dyDescent="0.3">
      <c r="S487" s="24">
        <f t="shared" si="7"/>
        <v>0</v>
      </c>
    </row>
    <row r="488" spans="19:19" x14ac:dyDescent="0.3">
      <c r="S488" s="24">
        <f t="shared" si="7"/>
        <v>0</v>
      </c>
    </row>
    <row r="489" spans="19:19" x14ac:dyDescent="0.3">
      <c r="S489" s="24">
        <f t="shared" si="7"/>
        <v>0</v>
      </c>
    </row>
    <row r="490" spans="19:19" x14ac:dyDescent="0.3">
      <c r="S490" s="24">
        <f t="shared" si="7"/>
        <v>0</v>
      </c>
    </row>
    <row r="491" spans="19:19" x14ac:dyDescent="0.3">
      <c r="S491" s="24">
        <f t="shared" si="7"/>
        <v>0</v>
      </c>
    </row>
    <row r="492" spans="19:19" x14ac:dyDescent="0.3">
      <c r="S492" s="24">
        <f t="shared" si="7"/>
        <v>0</v>
      </c>
    </row>
    <row r="493" spans="19:19" x14ac:dyDescent="0.3">
      <c r="S493" s="24">
        <f t="shared" si="7"/>
        <v>0</v>
      </c>
    </row>
    <row r="494" spans="19:19" x14ac:dyDescent="0.3">
      <c r="S494" s="24">
        <f t="shared" si="7"/>
        <v>0</v>
      </c>
    </row>
    <row r="495" spans="19:19" x14ac:dyDescent="0.3">
      <c r="S495" s="24">
        <f t="shared" si="7"/>
        <v>0</v>
      </c>
    </row>
    <row r="496" spans="19:19" x14ac:dyDescent="0.3">
      <c r="S496" s="24">
        <f t="shared" si="7"/>
        <v>0</v>
      </c>
    </row>
    <row r="497" spans="19:19" x14ac:dyDescent="0.3">
      <c r="S497" s="24">
        <f t="shared" si="7"/>
        <v>0</v>
      </c>
    </row>
    <row r="498" spans="19:19" x14ac:dyDescent="0.3">
      <c r="S498" s="24">
        <f t="shared" si="7"/>
        <v>0</v>
      </c>
    </row>
    <row r="499" spans="19:19" x14ac:dyDescent="0.3">
      <c r="S499" s="24">
        <f t="shared" si="7"/>
        <v>0</v>
      </c>
    </row>
    <row r="500" spans="19:19" x14ac:dyDescent="0.3">
      <c r="S500" s="24">
        <f t="shared" si="7"/>
        <v>0</v>
      </c>
    </row>
    <row r="501" spans="19:19" x14ac:dyDescent="0.3">
      <c r="S501" s="24">
        <f t="shared" si="7"/>
        <v>0</v>
      </c>
    </row>
    <row r="502" spans="19:19" x14ac:dyDescent="0.3">
      <c r="S502" s="24">
        <f t="shared" si="7"/>
        <v>0</v>
      </c>
    </row>
    <row r="503" spans="19:19" x14ac:dyDescent="0.3">
      <c r="S503" s="24">
        <f t="shared" si="7"/>
        <v>0</v>
      </c>
    </row>
    <row r="504" spans="19:19" x14ac:dyDescent="0.3">
      <c r="S504" s="24">
        <f t="shared" si="7"/>
        <v>0</v>
      </c>
    </row>
    <row r="505" spans="19:19" x14ac:dyDescent="0.3">
      <c r="S505" s="24">
        <f t="shared" si="7"/>
        <v>0</v>
      </c>
    </row>
    <row r="506" spans="19:19" x14ac:dyDescent="0.3">
      <c r="S506" s="24">
        <f t="shared" si="7"/>
        <v>0</v>
      </c>
    </row>
    <row r="507" spans="19:19" x14ac:dyDescent="0.3">
      <c r="S507" s="24">
        <f t="shared" si="7"/>
        <v>0</v>
      </c>
    </row>
    <row r="508" spans="19:19" x14ac:dyDescent="0.3">
      <c r="S508" s="24">
        <f t="shared" si="7"/>
        <v>0</v>
      </c>
    </row>
    <row r="509" spans="19:19" x14ac:dyDescent="0.3">
      <c r="S509" s="24">
        <f t="shared" si="7"/>
        <v>0</v>
      </c>
    </row>
    <row r="510" spans="19:19" x14ac:dyDescent="0.3">
      <c r="S510" s="24">
        <f t="shared" si="7"/>
        <v>0</v>
      </c>
    </row>
    <row r="511" spans="19:19" x14ac:dyDescent="0.3">
      <c r="S511" s="24">
        <f t="shared" si="7"/>
        <v>0</v>
      </c>
    </row>
    <row r="512" spans="19:19" x14ac:dyDescent="0.3">
      <c r="S512" s="24">
        <f t="shared" si="7"/>
        <v>0</v>
      </c>
    </row>
    <row r="513" spans="19:19" x14ac:dyDescent="0.3">
      <c r="S513" s="24">
        <f t="shared" si="7"/>
        <v>0</v>
      </c>
    </row>
    <row r="514" spans="19:19" x14ac:dyDescent="0.3">
      <c r="S514" s="24">
        <f t="shared" si="7"/>
        <v>0</v>
      </c>
    </row>
    <row r="515" spans="19:19" x14ac:dyDescent="0.3">
      <c r="S515" s="24">
        <f t="shared" si="7"/>
        <v>0</v>
      </c>
    </row>
    <row r="516" spans="19:19" x14ac:dyDescent="0.3">
      <c r="S516" s="24">
        <f t="shared" si="7"/>
        <v>0</v>
      </c>
    </row>
    <row r="517" spans="19:19" x14ac:dyDescent="0.3">
      <c r="S517" s="24">
        <f t="shared" si="7"/>
        <v>0</v>
      </c>
    </row>
    <row r="518" spans="19:19" x14ac:dyDescent="0.3">
      <c r="S518" s="24">
        <f t="shared" si="7"/>
        <v>0</v>
      </c>
    </row>
    <row r="519" spans="19:19" x14ac:dyDescent="0.3">
      <c r="S519" s="24">
        <f t="shared" si="7"/>
        <v>0</v>
      </c>
    </row>
    <row r="520" spans="19:19" x14ac:dyDescent="0.3">
      <c r="S520" s="24">
        <f t="shared" si="7"/>
        <v>0</v>
      </c>
    </row>
    <row r="521" spans="19:19" x14ac:dyDescent="0.3">
      <c r="S521" s="24">
        <f t="shared" si="7"/>
        <v>0</v>
      </c>
    </row>
    <row r="522" spans="19:19" x14ac:dyDescent="0.3">
      <c r="S522" s="24">
        <f t="shared" ref="S522:S530" si="8">SUM(N522:R522)</f>
        <v>0</v>
      </c>
    </row>
    <row r="523" spans="19:19" x14ac:dyDescent="0.3">
      <c r="S523" s="24">
        <f t="shared" si="8"/>
        <v>0</v>
      </c>
    </row>
    <row r="524" spans="19:19" x14ac:dyDescent="0.3">
      <c r="S524" s="24">
        <f t="shared" si="8"/>
        <v>0</v>
      </c>
    </row>
    <row r="525" spans="19:19" x14ac:dyDescent="0.3">
      <c r="S525" s="24">
        <f t="shared" si="8"/>
        <v>0</v>
      </c>
    </row>
    <row r="526" spans="19:19" x14ac:dyDescent="0.3">
      <c r="S526" s="24">
        <f t="shared" si="8"/>
        <v>0</v>
      </c>
    </row>
    <row r="527" spans="19:19" x14ac:dyDescent="0.3">
      <c r="S527" s="24">
        <f t="shared" si="8"/>
        <v>0</v>
      </c>
    </row>
    <row r="528" spans="19:19" x14ac:dyDescent="0.3">
      <c r="S528" s="24">
        <f t="shared" si="8"/>
        <v>0</v>
      </c>
    </row>
    <row r="529" spans="19:19" x14ac:dyDescent="0.3">
      <c r="S529" s="24">
        <f t="shared" si="8"/>
        <v>0</v>
      </c>
    </row>
    <row r="530" spans="19:19" x14ac:dyDescent="0.3">
      <c r="S530" s="24">
        <f t="shared" si="8"/>
        <v>0</v>
      </c>
    </row>
  </sheetData>
  <autoFilter ref="A1:S530" xr:uid="{00000000-0001-0000-00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3D04-9D1C-41F3-8A4E-569A34805293}">
  <sheetPr>
    <tabColor theme="0" tint="-0.14999847407452621"/>
  </sheetPr>
  <dimension ref="A1:U525"/>
  <sheetViews>
    <sheetView workbookViewId="0">
      <selection activeCell="A8" sqref="A8"/>
    </sheetView>
  </sheetViews>
  <sheetFormatPr defaultColWidth="8.88671875" defaultRowHeight="14.4" x14ac:dyDescent="0.3"/>
  <cols>
    <col min="1" max="1" width="23.6640625" style="2" customWidth="1"/>
    <col min="2" max="2" width="17.33203125" style="2" customWidth="1"/>
    <col min="3" max="3" width="31.6640625" style="2" customWidth="1"/>
    <col min="4" max="4" width="13.44140625" style="2" customWidth="1"/>
    <col min="5" max="5" width="14.33203125" style="2" customWidth="1"/>
    <col min="6" max="6" width="12.109375" style="2" customWidth="1"/>
    <col min="7" max="7" width="11.44140625" style="2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9.88671875" style="2" customWidth="1"/>
    <col min="18" max="18" width="8.88671875" style="2"/>
    <col min="19" max="19" width="8.88671875" style="32"/>
    <col min="20" max="16384" width="8.88671875" style="2"/>
  </cols>
  <sheetData>
    <row r="1" spans="1:21" ht="28.8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30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31" t="s">
        <v>18</v>
      </c>
      <c r="T1" s="7"/>
      <c r="U1" s="1"/>
    </row>
    <row r="2" spans="1:21" x14ac:dyDescent="0.3">
      <c r="A2" s="2" t="s">
        <v>137</v>
      </c>
      <c r="B2" s="2" t="s">
        <v>41</v>
      </c>
      <c r="C2" s="2" t="s">
        <v>202</v>
      </c>
      <c r="E2" s="57">
        <v>45716</v>
      </c>
      <c r="F2" s="57">
        <v>45716</v>
      </c>
      <c r="G2" s="57">
        <v>45716</v>
      </c>
      <c r="H2" s="2">
        <v>1</v>
      </c>
      <c r="N2" s="2">
        <v>3152</v>
      </c>
      <c r="S2" s="32">
        <f>SUM(N2:R2)</f>
        <v>3152</v>
      </c>
    </row>
    <row r="3" spans="1:21" x14ac:dyDescent="0.3">
      <c r="A3" s="2" t="s">
        <v>204</v>
      </c>
      <c r="B3" s="2" t="s">
        <v>30</v>
      </c>
      <c r="C3" s="2" t="s">
        <v>202</v>
      </c>
      <c r="E3" s="57">
        <v>45716</v>
      </c>
      <c r="F3" s="57">
        <v>45716</v>
      </c>
      <c r="G3" s="57">
        <v>45716</v>
      </c>
      <c r="H3" s="2">
        <v>1</v>
      </c>
      <c r="N3" s="2">
        <v>3152</v>
      </c>
      <c r="S3" s="32">
        <f>SUM(N3:R3)</f>
        <v>3152</v>
      </c>
    </row>
    <row r="4" spans="1:21" x14ac:dyDescent="0.3">
      <c r="A4" s="2" t="s">
        <v>137</v>
      </c>
      <c r="B4" s="2" t="s">
        <v>41</v>
      </c>
      <c r="C4" s="2" t="s">
        <v>59</v>
      </c>
      <c r="E4" s="57">
        <v>45749</v>
      </c>
      <c r="F4" s="57">
        <v>45749</v>
      </c>
      <c r="G4" s="57">
        <v>45749</v>
      </c>
      <c r="H4" s="2">
        <v>1</v>
      </c>
      <c r="I4" s="2" t="s">
        <v>54</v>
      </c>
      <c r="J4" s="2" t="s">
        <v>55</v>
      </c>
      <c r="L4" s="2">
        <v>463</v>
      </c>
      <c r="O4" s="2">
        <v>57.5</v>
      </c>
      <c r="Q4" s="2">
        <v>616</v>
      </c>
      <c r="R4" s="2">
        <v>100</v>
      </c>
      <c r="S4" s="32">
        <f>SUM(N4:R4)</f>
        <v>773.5</v>
      </c>
    </row>
    <row r="5" spans="1:21" x14ac:dyDescent="0.3">
      <c r="A5" s="2" t="s">
        <v>137</v>
      </c>
      <c r="B5" s="2" t="s">
        <v>41</v>
      </c>
      <c r="C5" s="2" t="s">
        <v>202</v>
      </c>
      <c r="E5" s="57">
        <v>45747</v>
      </c>
      <c r="F5" s="57">
        <v>45747</v>
      </c>
      <c r="G5" s="57">
        <v>45747</v>
      </c>
      <c r="H5" s="2">
        <v>1</v>
      </c>
      <c r="N5" s="2">
        <v>3546</v>
      </c>
      <c r="S5" s="32">
        <f t="shared" ref="S5:S68" si="0">SUM(N5:R5)</f>
        <v>3546</v>
      </c>
    </row>
    <row r="6" spans="1:21" x14ac:dyDescent="0.3">
      <c r="A6" s="2" t="s">
        <v>204</v>
      </c>
      <c r="B6" s="2" t="s">
        <v>30</v>
      </c>
      <c r="C6" s="2" t="s">
        <v>202</v>
      </c>
      <c r="E6" s="57">
        <v>45747</v>
      </c>
      <c r="F6" s="57">
        <v>45747</v>
      </c>
      <c r="G6" s="57">
        <v>45747</v>
      </c>
      <c r="H6" s="2">
        <v>1</v>
      </c>
      <c r="N6" s="2">
        <v>3546</v>
      </c>
      <c r="S6" s="32">
        <f t="shared" si="0"/>
        <v>3546</v>
      </c>
    </row>
    <row r="7" spans="1:21" x14ac:dyDescent="0.3">
      <c r="A7" s="2" t="s">
        <v>137</v>
      </c>
      <c r="B7" s="2" t="s">
        <v>41</v>
      </c>
      <c r="C7" s="2" t="s">
        <v>305</v>
      </c>
      <c r="E7" s="64" t="s">
        <v>306</v>
      </c>
      <c r="F7" s="57">
        <v>45937</v>
      </c>
      <c r="G7" s="57">
        <v>45938</v>
      </c>
      <c r="H7" s="2">
        <v>2</v>
      </c>
      <c r="O7" s="2">
        <v>115</v>
      </c>
      <c r="S7" s="32">
        <f t="shared" si="0"/>
        <v>115</v>
      </c>
    </row>
    <row r="8" spans="1:21" x14ac:dyDescent="0.3">
      <c r="S8" s="32">
        <f t="shared" si="0"/>
        <v>0</v>
      </c>
    </row>
    <row r="9" spans="1:21" x14ac:dyDescent="0.3">
      <c r="S9" s="32">
        <f t="shared" si="0"/>
        <v>0</v>
      </c>
    </row>
    <row r="10" spans="1:21" x14ac:dyDescent="0.3">
      <c r="S10" s="32">
        <f t="shared" si="0"/>
        <v>0</v>
      </c>
    </row>
    <row r="11" spans="1:21" x14ac:dyDescent="0.3">
      <c r="S11" s="32">
        <f t="shared" si="0"/>
        <v>0</v>
      </c>
    </row>
    <row r="12" spans="1:21" x14ac:dyDescent="0.3">
      <c r="S12" s="32">
        <f t="shared" si="0"/>
        <v>0</v>
      </c>
    </row>
    <row r="13" spans="1:21" x14ac:dyDescent="0.3">
      <c r="S13" s="32">
        <f t="shared" si="0"/>
        <v>0</v>
      </c>
    </row>
    <row r="14" spans="1:21" x14ac:dyDescent="0.3">
      <c r="S14" s="32">
        <f t="shared" si="0"/>
        <v>0</v>
      </c>
    </row>
    <row r="15" spans="1:21" x14ac:dyDescent="0.3">
      <c r="S15" s="32">
        <f t="shared" si="0"/>
        <v>0</v>
      </c>
    </row>
    <row r="16" spans="1:21" x14ac:dyDescent="0.3">
      <c r="S16" s="32">
        <f t="shared" si="0"/>
        <v>0</v>
      </c>
    </row>
    <row r="17" spans="19:19" x14ac:dyDescent="0.3">
      <c r="S17" s="32">
        <f t="shared" si="0"/>
        <v>0</v>
      </c>
    </row>
    <row r="18" spans="19:19" x14ac:dyDescent="0.3">
      <c r="S18" s="32">
        <f t="shared" si="0"/>
        <v>0</v>
      </c>
    </row>
    <row r="19" spans="19:19" x14ac:dyDescent="0.3">
      <c r="S19" s="32">
        <f t="shared" si="0"/>
        <v>0</v>
      </c>
    </row>
    <row r="20" spans="19:19" x14ac:dyDescent="0.3">
      <c r="S20" s="32">
        <f t="shared" si="0"/>
        <v>0</v>
      </c>
    </row>
    <row r="21" spans="19:19" x14ac:dyDescent="0.3">
      <c r="S21" s="32">
        <f t="shared" si="0"/>
        <v>0</v>
      </c>
    </row>
    <row r="22" spans="19:19" x14ac:dyDescent="0.3">
      <c r="S22" s="32">
        <f t="shared" si="0"/>
        <v>0</v>
      </c>
    </row>
    <row r="23" spans="19:19" x14ac:dyDescent="0.3">
      <c r="S23" s="32">
        <f t="shared" si="0"/>
        <v>0</v>
      </c>
    </row>
    <row r="24" spans="19:19" x14ac:dyDescent="0.3">
      <c r="S24" s="32">
        <f t="shared" si="0"/>
        <v>0</v>
      </c>
    </row>
    <row r="25" spans="19:19" x14ac:dyDescent="0.3">
      <c r="S25" s="32">
        <f t="shared" si="0"/>
        <v>0</v>
      </c>
    </row>
    <row r="26" spans="19:19" x14ac:dyDescent="0.3">
      <c r="S26" s="32">
        <f t="shared" si="0"/>
        <v>0</v>
      </c>
    </row>
    <row r="27" spans="19:19" x14ac:dyDescent="0.3">
      <c r="S27" s="32">
        <f t="shared" si="0"/>
        <v>0</v>
      </c>
    </row>
    <row r="28" spans="19:19" x14ac:dyDescent="0.3">
      <c r="S28" s="32">
        <f t="shared" si="0"/>
        <v>0</v>
      </c>
    </row>
    <row r="29" spans="19:19" x14ac:dyDescent="0.3">
      <c r="S29" s="32">
        <f t="shared" si="0"/>
        <v>0</v>
      </c>
    </row>
    <row r="30" spans="19:19" x14ac:dyDescent="0.3">
      <c r="S30" s="32">
        <f t="shared" si="0"/>
        <v>0</v>
      </c>
    </row>
    <row r="31" spans="19:19" x14ac:dyDescent="0.3">
      <c r="S31" s="32">
        <f t="shared" si="0"/>
        <v>0</v>
      </c>
    </row>
    <row r="32" spans="19:19" x14ac:dyDescent="0.3">
      <c r="S32" s="32">
        <f t="shared" si="0"/>
        <v>0</v>
      </c>
    </row>
    <row r="33" spans="19:19" x14ac:dyDescent="0.3">
      <c r="S33" s="32">
        <f t="shared" si="0"/>
        <v>0</v>
      </c>
    </row>
    <row r="34" spans="19:19" x14ac:dyDescent="0.3">
      <c r="S34" s="32">
        <f t="shared" si="0"/>
        <v>0</v>
      </c>
    </row>
    <row r="35" spans="19:19" x14ac:dyDescent="0.3">
      <c r="S35" s="32">
        <f t="shared" si="0"/>
        <v>0</v>
      </c>
    </row>
    <row r="36" spans="19:19" x14ac:dyDescent="0.3">
      <c r="S36" s="32">
        <f t="shared" si="0"/>
        <v>0</v>
      </c>
    </row>
    <row r="37" spans="19:19" x14ac:dyDescent="0.3">
      <c r="S37" s="32">
        <f t="shared" si="0"/>
        <v>0</v>
      </c>
    </row>
    <row r="38" spans="19:19" x14ac:dyDescent="0.3">
      <c r="S38" s="32">
        <f t="shared" si="0"/>
        <v>0</v>
      </c>
    </row>
    <row r="39" spans="19:19" x14ac:dyDescent="0.3">
      <c r="S39" s="32">
        <f t="shared" si="0"/>
        <v>0</v>
      </c>
    </row>
    <row r="40" spans="19:19" x14ac:dyDescent="0.3">
      <c r="S40" s="32">
        <f t="shared" si="0"/>
        <v>0</v>
      </c>
    </row>
    <row r="41" spans="19:19" x14ac:dyDescent="0.3">
      <c r="S41" s="32">
        <f t="shared" si="0"/>
        <v>0</v>
      </c>
    </row>
    <row r="42" spans="19:19" x14ac:dyDescent="0.3">
      <c r="S42" s="32">
        <f t="shared" si="0"/>
        <v>0</v>
      </c>
    </row>
    <row r="43" spans="19:19" x14ac:dyDescent="0.3">
      <c r="S43" s="32">
        <f t="shared" si="0"/>
        <v>0</v>
      </c>
    </row>
    <row r="44" spans="19:19" x14ac:dyDescent="0.3">
      <c r="S44" s="32">
        <f t="shared" si="0"/>
        <v>0</v>
      </c>
    </row>
    <row r="45" spans="19:19" x14ac:dyDescent="0.3">
      <c r="S45" s="32">
        <f t="shared" si="0"/>
        <v>0</v>
      </c>
    </row>
    <row r="46" spans="19:19" x14ac:dyDescent="0.3">
      <c r="S46" s="32">
        <f t="shared" si="0"/>
        <v>0</v>
      </c>
    </row>
    <row r="47" spans="19:19" x14ac:dyDescent="0.3">
      <c r="S47" s="32">
        <f t="shared" si="0"/>
        <v>0</v>
      </c>
    </row>
    <row r="48" spans="19:19" x14ac:dyDescent="0.3">
      <c r="S48" s="32">
        <f t="shared" si="0"/>
        <v>0</v>
      </c>
    </row>
    <row r="49" spans="19:19" x14ac:dyDescent="0.3">
      <c r="S49" s="32">
        <f t="shared" si="0"/>
        <v>0</v>
      </c>
    </row>
    <row r="50" spans="19:19" x14ac:dyDescent="0.3">
      <c r="S50" s="32">
        <f t="shared" si="0"/>
        <v>0</v>
      </c>
    </row>
    <row r="51" spans="19:19" x14ac:dyDescent="0.3">
      <c r="S51" s="32">
        <f t="shared" si="0"/>
        <v>0</v>
      </c>
    </row>
    <row r="52" spans="19:19" x14ac:dyDescent="0.3">
      <c r="S52" s="32">
        <f t="shared" si="0"/>
        <v>0</v>
      </c>
    </row>
    <row r="53" spans="19:19" x14ac:dyDescent="0.3">
      <c r="S53" s="32">
        <f t="shared" si="0"/>
        <v>0</v>
      </c>
    </row>
    <row r="54" spans="19:19" x14ac:dyDescent="0.3">
      <c r="S54" s="32">
        <f t="shared" si="0"/>
        <v>0</v>
      </c>
    </row>
    <row r="55" spans="19:19" x14ac:dyDescent="0.3">
      <c r="S55" s="32">
        <f t="shared" si="0"/>
        <v>0</v>
      </c>
    </row>
    <row r="56" spans="19:19" x14ac:dyDescent="0.3">
      <c r="S56" s="32">
        <f t="shared" si="0"/>
        <v>0</v>
      </c>
    </row>
    <row r="57" spans="19:19" x14ac:dyDescent="0.3">
      <c r="S57" s="32">
        <f t="shared" si="0"/>
        <v>0</v>
      </c>
    </row>
    <row r="58" spans="19:19" x14ac:dyDescent="0.3">
      <c r="S58" s="32">
        <f t="shared" si="0"/>
        <v>0</v>
      </c>
    </row>
    <row r="59" spans="19:19" x14ac:dyDescent="0.3">
      <c r="S59" s="32">
        <f t="shared" si="0"/>
        <v>0</v>
      </c>
    </row>
    <row r="60" spans="19:19" x14ac:dyDescent="0.3">
      <c r="S60" s="32">
        <f t="shared" si="0"/>
        <v>0</v>
      </c>
    </row>
    <row r="61" spans="19:19" x14ac:dyDescent="0.3">
      <c r="S61" s="32">
        <f t="shared" si="0"/>
        <v>0</v>
      </c>
    </row>
    <row r="62" spans="19:19" x14ac:dyDescent="0.3">
      <c r="S62" s="32">
        <f t="shared" si="0"/>
        <v>0</v>
      </c>
    </row>
    <row r="63" spans="19:19" x14ac:dyDescent="0.3">
      <c r="S63" s="32">
        <f t="shared" si="0"/>
        <v>0</v>
      </c>
    </row>
    <row r="64" spans="19:19" x14ac:dyDescent="0.3">
      <c r="S64" s="32">
        <f t="shared" si="0"/>
        <v>0</v>
      </c>
    </row>
    <row r="65" spans="19:19" x14ac:dyDescent="0.3">
      <c r="S65" s="32">
        <f t="shared" si="0"/>
        <v>0</v>
      </c>
    </row>
    <row r="66" spans="19:19" x14ac:dyDescent="0.3">
      <c r="S66" s="32">
        <f t="shared" si="0"/>
        <v>0</v>
      </c>
    </row>
    <row r="67" spans="19:19" x14ac:dyDescent="0.3">
      <c r="S67" s="32">
        <f t="shared" si="0"/>
        <v>0</v>
      </c>
    </row>
    <row r="68" spans="19:19" x14ac:dyDescent="0.3">
      <c r="S68" s="32">
        <f t="shared" si="0"/>
        <v>0</v>
      </c>
    </row>
    <row r="69" spans="19:19" x14ac:dyDescent="0.3">
      <c r="S69" s="32">
        <f t="shared" ref="S69:S132" si="1">SUM(N69:R69)</f>
        <v>0</v>
      </c>
    </row>
    <row r="70" spans="19:19" x14ac:dyDescent="0.3">
      <c r="S70" s="32">
        <f t="shared" si="1"/>
        <v>0</v>
      </c>
    </row>
    <row r="71" spans="19:19" x14ac:dyDescent="0.3">
      <c r="S71" s="32">
        <f t="shared" si="1"/>
        <v>0</v>
      </c>
    </row>
    <row r="72" spans="19:19" x14ac:dyDescent="0.3">
      <c r="S72" s="32">
        <f t="shared" si="1"/>
        <v>0</v>
      </c>
    </row>
    <row r="73" spans="19:19" x14ac:dyDescent="0.3">
      <c r="S73" s="32">
        <f t="shared" si="1"/>
        <v>0</v>
      </c>
    </row>
    <row r="74" spans="19:19" x14ac:dyDescent="0.3">
      <c r="S74" s="32">
        <f t="shared" si="1"/>
        <v>0</v>
      </c>
    </row>
    <row r="75" spans="19:19" x14ac:dyDescent="0.3">
      <c r="S75" s="32">
        <f t="shared" si="1"/>
        <v>0</v>
      </c>
    </row>
    <row r="76" spans="19:19" x14ac:dyDescent="0.3">
      <c r="S76" s="32">
        <f t="shared" si="1"/>
        <v>0</v>
      </c>
    </row>
    <row r="77" spans="19:19" x14ac:dyDescent="0.3">
      <c r="S77" s="32">
        <f t="shared" si="1"/>
        <v>0</v>
      </c>
    </row>
    <row r="78" spans="19:19" x14ac:dyDescent="0.3">
      <c r="S78" s="32">
        <f t="shared" si="1"/>
        <v>0</v>
      </c>
    </row>
    <row r="79" spans="19:19" x14ac:dyDescent="0.3">
      <c r="S79" s="32">
        <f t="shared" si="1"/>
        <v>0</v>
      </c>
    </row>
    <row r="80" spans="19:19" x14ac:dyDescent="0.3">
      <c r="S80" s="32">
        <f t="shared" si="1"/>
        <v>0</v>
      </c>
    </row>
    <row r="81" spans="19:19" x14ac:dyDescent="0.3">
      <c r="S81" s="32">
        <f t="shared" si="1"/>
        <v>0</v>
      </c>
    </row>
    <row r="82" spans="19:19" x14ac:dyDescent="0.3">
      <c r="S82" s="32">
        <f t="shared" si="1"/>
        <v>0</v>
      </c>
    </row>
    <row r="83" spans="19:19" x14ac:dyDescent="0.3">
      <c r="S83" s="32">
        <f t="shared" si="1"/>
        <v>0</v>
      </c>
    </row>
    <row r="84" spans="19:19" x14ac:dyDescent="0.3">
      <c r="S84" s="32">
        <f t="shared" si="1"/>
        <v>0</v>
      </c>
    </row>
    <row r="85" spans="19:19" x14ac:dyDescent="0.3">
      <c r="S85" s="32">
        <f t="shared" si="1"/>
        <v>0</v>
      </c>
    </row>
    <row r="86" spans="19:19" x14ac:dyDescent="0.3">
      <c r="S86" s="32">
        <f t="shared" si="1"/>
        <v>0</v>
      </c>
    </row>
    <row r="87" spans="19:19" x14ac:dyDescent="0.3">
      <c r="S87" s="32">
        <f t="shared" si="1"/>
        <v>0</v>
      </c>
    </row>
    <row r="88" spans="19:19" x14ac:dyDescent="0.3">
      <c r="S88" s="32">
        <f t="shared" si="1"/>
        <v>0</v>
      </c>
    </row>
    <row r="89" spans="19:19" x14ac:dyDescent="0.3">
      <c r="S89" s="32">
        <f t="shared" si="1"/>
        <v>0</v>
      </c>
    </row>
    <row r="90" spans="19:19" x14ac:dyDescent="0.3">
      <c r="S90" s="32">
        <f t="shared" si="1"/>
        <v>0</v>
      </c>
    </row>
    <row r="91" spans="19:19" x14ac:dyDescent="0.3">
      <c r="S91" s="32">
        <f t="shared" si="1"/>
        <v>0</v>
      </c>
    </row>
    <row r="92" spans="19:19" x14ac:dyDescent="0.3">
      <c r="S92" s="32">
        <f t="shared" si="1"/>
        <v>0</v>
      </c>
    </row>
    <row r="93" spans="19:19" x14ac:dyDescent="0.3">
      <c r="S93" s="32">
        <f t="shared" si="1"/>
        <v>0</v>
      </c>
    </row>
    <row r="94" spans="19:19" x14ac:dyDescent="0.3">
      <c r="S94" s="32">
        <f t="shared" si="1"/>
        <v>0</v>
      </c>
    </row>
    <row r="95" spans="19:19" x14ac:dyDescent="0.3">
      <c r="S95" s="32">
        <f t="shared" si="1"/>
        <v>0</v>
      </c>
    </row>
    <row r="96" spans="19:19" x14ac:dyDescent="0.3">
      <c r="S96" s="32">
        <f t="shared" si="1"/>
        <v>0</v>
      </c>
    </row>
    <row r="97" spans="19:19" x14ac:dyDescent="0.3">
      <c r="S97" s="32">
        <f t="shared" si="1"/>
        <v>0</v>
      </c>
    </row>
    <row r="98" spans="19:19" x14ac:dyDescent="0.3">
      <c r="S98" s="32">
        <f t="shared" si="1"/>
        <v>0</v>
      </c>
    </row>
    <row r="99" spans="19:19" x14ac:dyDescent="0.3">
      <c r="S99" s="32">
        <f t="shared" si="1"/>
        <v>0</v>
      </c>
    </row>
    <row r="100" spans="19:19" x14ac:dyDescent="0.3">
      <c r="S100" s="32">
        <f t="shared" si="1"/>
        <v>0</v>
      </c>
    </row>
    <row r="101" spans="19:19" x14ac:dyDescent="0.3">
      <c r="S101" s="32">
        <f t="shared" si="1"/>
        <v>0</v>
      </c>
    </row>
    <row r="102" spans="19:19" x14ac:dyDescent="0.3">
      <c r="S102" s="32">
        <f t="shared" si="1"/>
        <v>0</v>
      </c>
    </row>
    <row r="103" spans="19:19" x14ac:dyDescent="0.3">
      <c r="S103" s="32">
        <f t="shared" si="1"/>
        <v>0</v>
      </c>
    </row>
    <row r="104" spans="19:19" x14ac:dyDescent="0.3">
      <c r="S104" s="32">
        <f t="shared" si="1"/>
        <v>0</v>
      </c>
    </row>
    <row r="105" spans="19:19" x14ac:dyDescent="0.3">
      <c r="S105" s="32">
        <f t="shared" si="1"/>
        <v>0</v>
      </c>
    </row>
    <row r="106" spans="19:19" x14ac:dyDescent="0.3">
      <c r="S106" s="32">
        <f t="shared" si="1"/>
        <v>0</v>
      </c>
    </row>
    <row r="107" spans="19:19" x14ac:dyDescent="0.3">
      <c r="S107" s="32">
        <f t="shared" si="1"/>
        <v>0</v>
      </c>
    </row>
    <row r="108" spans="19:19" x14ac:dyDescent="0.3">
      <c r="S108" s="32">
        <f t="shared" si="1"/>
        <v>0</v>
      </c>
    </row>
    <row r="109" spans="19:19" x14ac:dyDescent="0.3">
      <c r="S109" s="32">
        <f t="shared" si="1"/>
        <v>0</v>
      </c>
    </row>
    <row r="110" spans="19:19" x14ac:dyDescent="0.3">
      <c r="S110" s="32">
        <f t="shared" si="1"/>
        <v>0</v>
      </c>
    </row>
    <row r="111" spans="19:19" x14ac:dyDescent="0.3">
      <c r="S111" s="32">
        <f t="shared" si="1"/>
        <v>0</v>
      </c>
    </row>
    <row r="112" spans="19:19" x14ac:dyDescent="0.3">
      <c r="S112" s="32">
        <f t="shared" si="1"/>
        <v>0</v>
      </c>
    </row>
    <row r="113" spans="19:19" x14ac:dyDescent="0.3">
      <c r="S113" s="32">
        <f t="shared" si="1"/>
        <v>0</v>
      </c>
    </row>
    <row r="114" spans="19:19" x14ac:dyDescent="0.3">
      <c r="S114" s="32">
        <f t="shared" si="1"/>
        <v>0</v>
      </c>
    </row>
    <row r="115" spans="19:19" x14ac:dyDescent="0.3">
      <c r="S115" s="32">
        <f t="shared" si="1"/>
        <v>0</v>
      </c>
    </row>
    <row r="116" spans="19:19" x14ac:dyDescent="0.3">
      <c r="S116" s="32">
        <f t="shared" si="1"/>
        <v>0</v>
      </c>
    </row>
    <row r="117" spans="19:19" x14ac:dyDescent="0.3">
      <c r="S117" s="32">
        <f t="shared" si="1"/>
        <v>0</v>
      </c>
    </row>
    <row r="118" spans="19:19" x14ac:dyDescent="0.3">
      <c r="S118" s="32">
        <f t="shared" si="1"/>
        <v>0</v>
      </c>
    </row>
    <row r="119" spans="19:19" x14ac:dyDescent="0.3">
      <c r="S119" s="32">
        <f t="shared" si="1"/>
        <v>0</v>
      </c>
    </row>
    <row r="120" spans="19:19" x14ac:dyDescent="0.3">
      <c r="S120" s="32">
        <f t="shared" si="1"/>
        <v>0</v>
      </c>
    </row>
    <row r="121" spans="19:19" x14ac:dyDescent="0.3">
      <c r="S121" s="32">
        <f t="shared" si="1"/>
        <v>0</v>
      </c>
    </row>
    <row r="122" spans="19:19" x14ac:dyDescent="0.3">
      <c r="S122" s="32">
        <f t="shared" si="1"/>
        <v>0</v>
      </c>
    </row>
    <row r="123" spans="19:19" x14ac:dyDescent="0.3">
      <c r="S123" s="32">
        <f t="shared" si="1"/>
        <v>0</v>
      </c>
    </row>
    <row r="124" spans="19:19" x14ac:dyDescent="0.3">
      <c r="S124" s="32">
        <f t="shared" si="1"/>
        <v>0</v>
      </c>
    </row>
    <row r="125" spans="19:19" x14ac:dyDescent="0.3">
      <c r="S125" s="32">
        <f t="shared" si="1"/>
        <v>0</v>
      </c>
    </row>
    <row r="126" spans="19:19" x14ac:dyDescent="0.3">
      <c r="S126" s="32">
        <f t="shared" si="1"/>
        <v>0</v>
      </c>
    </row>
    <row r="127" spans="19:19" x14ac:dyDescent="0.3">
      <c r="S127" s="32">
        <f t="shared" si="1"/>
        <v>0</v>
      </c>
    </row>
    <row r="128" spans="19:19" x14ac:dyDescent="0.3">
      <c r="S128" s="32">
        <f t="shared" si="1"/>
        <v>0</v>
      </c>
    </row>
    <row r="129" spans="19:19" x14ac:dyDescent="0.3">
      <c r="S129" s="32">
        <f t="shared" si="1"/>
        <v>0</v>
      </c>
    </row>
    <row r="130" spans="19:19" x14ac:dyDescent="0.3">
      <c r="S130" s="32">
        <f t="shared" si="1"/>
        <v>0</v>
      </c>
    </row>
    <row r="131" spans="19:19" x14ac:dyDescent="0.3">
      <c r="S131" s="32">
        <f t="shared" si="1"/>
        <v>0</v>
      </c>
    </row>
    <row r="132" spans="19:19" x14ac:dyDescent="0.3">
      <c r="S132" s="32">
        <f t="shared" si="1"/>
        <v>0</v>
      </c>
    </row>
    <row r="133" spans="19:19" x14ac:dyDescent="0.3">
      <c r="S133" s="32">
        <f t="shared" ref="S133:S196" si="2">SUM(N133:R133)</f>
        <v>0</v>
      </c>
    </row>
    <row r="134" spans="19:19" x14ac:dyDescent="0.3">
      <c r="S134" s="32">
        <f t="shared" si="2"/>
        <v>0</v>
      </c>
    </row>
    <row r="135" spans="19:19" x14ac:dyDescent="0.3">
      <c r="S135" s="32">
        <f t="shared" si="2"/>
        <v>0</v>
      </c>
    </row>
    <row r="136" spans="19:19" x14ac:dyDescent="0.3">
      <c r="S136" s="32">
        <f t="shared" si="2"/>
        <v>0</v>
      </c>
    </row>
    <row r="137" spans="19:19" x14ac:dyDescent="0.3">
      <c r="S137" s="32">
        <f t="shared" si="2"/>
        <v>0</v>
      </c>
    </row>
    <row r="138" spans="19:19" x14ac:dyDescent="0.3">
      <c r="S138" s="32">
        <f t="shared" si="2"/>
        <v>0</v>
      </c>
    </row>
    <row r="139" spans="19:19" x14ac:dyDescent="0.3">
      <c r="S139" s="32">
        <f t="shared" si="2"/>
        <v>0</v>
      </c>
    </row>
    <row r="140" spans="19:19" x14ac:dyDescent="0.3">
      <c r="S140" s="32">
        <f t="shared" si="2"/>
        <v>0</v>
      </c>
    </row>
    <row r="141" spans="19:19" x14ac:dyDescent="0.3">
      <c r="S141" s="32">
        <f t="shared" si="2"/>
        <v>0</v>
      </c>
    </row>
    <row r="142" spans="19:19" x14ac:dyDescent="0.3">
      <c r="S142" s="32">
        <f t="shared" si="2"/>
        <v>0</v>
      </c>
    </row>
    <row r="143" spans="19:19" x14ac:dyDescent="0.3">
      <c r="S143" s="32">
        <f t="shared" si="2"/>
        <v>0</v>
      </c>
    </row>
    <row r="144" spans="19:19" x14ac:dyDescent="0.3">
      <c r="S144" s="32">
        <f t="shared" si="2"/>
        <v>0</v>
      </c>
    </row>
    <row r="145" spans="19:19" x14ac:dyDescent="0.3">
      <c r="S145" s="32">
        <f t="shared" si="2"/>
        <v>0</v>
      </c>
    </row>
    <row r="146" spans="19:19" x14ac:dyDescent="0.3">
      <c r="S146" s="32">
        <f t="shared" si="2"/>
        <v>0</v>
      </c>
    </row>
    <row r="147" spans="19:19" x14ac:dyDescent="0.3">
      <c r="S147" s="32">
        <f t="shared" si="2"/>
        <v>0</v>
      </c>
    </row>
    <row r="148" spans="19:19" x14ac:dyDescent="0.3">
      <c r="S148" s="32">
        <f t="shared" si="2"/>
        <v>0</v>
      </c>
    </row>
    <row r="149" spans="19:19" x14ac:dyDescent="0.3">
      <c r="S149" s="32">
        <f t="shared" si="2"/>
        <v>0</v>
      </c>
    </row>
    <row r="150" spans="19:19" x14ac:dyDescent="0.3">
      <c r="S150" s="32">
        <f t="shared" si="2"/>
        <v>0</v>
      </c>
    </row>
    <row r="151" spans="19:19" x14ac:dyDescent="0.3">
      <c r="S151" s="32">
        <f t="shared" si="2"/>
        <v>0</v>
      </c>
    </row>
    <row r="152" spans="19:19" x14ac:dyDescent="0.3">
      <c r="S152" s="32">
        <f t="shared" si="2"/>
        <v>0</v>
      </c>
    </row>
    <row r="153" spans="19:19" x14ac:dyDescent="0.3">
      <c r="S153" s="32">
        <f t="shared" si="2"/>
        <v>0</v>
      </c>
    </row>
    <row r="154" spans="19:19" x14ac:dyDescent="0.3">
      <c r="S154" s="32">
        <f t="shared" si="2"/>
        <v>0</v>
      </c>
    </row>
    <row r="155" spans="19:19" x14ac:dyDescent="0.3">
      <c r="S155" s="32">
        <f t="shared" si="2"/>
        <v>0</v>
      </c>
    </row>
    <row r="156" spans="19:19" x14ac:dyDescent="0.3">
      <c r="S156" s="32">
        <f t="shared" si="2"/>
        <v>0</v>
      </c>
    </row>
    <row r="157" spans="19:19" x14ac:dyDescent="0.3">
      <c r="S157" s="32">
        <f t="shared" si="2"/>
        <v>0</v>
      </c>
    </row>
    <row r="158" spans="19:19" x14ac:dyDescent="0.3">
      <c r="S158" s="32">
        <f t="shared" si="2"/>
        <v>0</v>
      </c>
    </row>
    <row r="159" spans="19:19" x14ac:dyDescent="0.3">
      <c r="S159" s="32">
        <f t="shared" si="2"/>
        <v>0</v>
      </c>
    </row>
    <row r="160" spans="19:19" x14ac:dyDescent="0.3">
      <c r="S160" s="32">
        <f t="shared" si="2"/>
        <v>0</v>
      </c>
    </row>
    <row r="161" spans="19:19" x14ac:dyDescent="0.3">
      <c r="S161" s="32">
        <f t="shared" si="2"/>
        <v>0</v>
      </c>
    </row>
    <row r="162" spans="19:19" x14ac:dyDescent="0.3">
      <c r="S162" s="32">
        <f t="shared" si="2"/>
        <v>0</v>
      </c>
    </row>
    <row r="163" spans="19:19" x14ac:dyDescent="0.3">
      <c r="S163" s="32">
        <f t="shared" si="2"/>
        <v>0</v>
      </c>
    </row>
    <row r="164" spans="19:19" x14ac:dyDescent="0.3">
      <c r="S164" s="32">
        <f t="shared" si="2"/>
        <v>0</v>
      </c>
    </row>
    <row r="165" spans="19:19" x14ac:dyDescent="0.3">
      <c r="S165" s="32">
        <f t="shared" si="2"/>
        <v>0</v>
      </c>
    </row>
    <row r="166" spans="19:19" x14ac:dyDescent="0.3">
      <c r="S166" s="32">
        <f t="shared" si="2"/>
        <v>0</v>
      </c>
    </row>
    <row r="167" spans="19:19" x14ac:dyDescent="0.3">
      <c r="S167" s="32">
        <f t="shared" si="2"/>
        <v>0</v>
      </c>
    </row>
    <row r="168" spans="19:19" x14ac:dyDescent="0.3">
      <c r="S168" s="32">
        <f t="shared" si="2"/>
        <v>0</v>
      </c>
    </row>
    <row r="169" spans="19:19" x14ac:dyDescent="0.3">
      <c r="S169" s="32">
        <f t="shared" si="2"/>
        <v>0</v>
      </c>
    </row>
    <row r="170" spans="19:19" x14ac:dyDescent="0.3">
      <c r="S170" s="32">
        <f t="shared" si="2"/>
        <v>0</v>
      </c>
    </row>
    <row r="171" spans="19:19" x14ac:dyDescent="0.3">
      <c r="S171" s="32">
        <f t="shared" si="2"/>
        <v>0</v>
      </c>
    </row>
    <row r="172" spans="19:19" x14ac:dyDescent="0.3">
      <c r="S172" s="32">
        <f t="shared" si="2"/>
        <v>0</v>
      </c>
    </row>
    <row r="173" spans="19:19" x14ac:dyDescent="0.3">
      <c r="S173" s="32">
        <f t="shared" si="2"/>
        <v>0</v>
      </c>
    </row>
    <row r="174" spans="19:19" x14ac:dyDescent="0.3">
      <c r="S174" s="32">
        <f t="shared" si="2"/>
        <v>0</v>
      </c>
    </row>
    <row r="175" spans="19:19" x14ac:dyDescent="0.3">
      <c r="S175" s="32">
        <f t="shared" si="2"/>
        <v>0</v>
      </c>
    </row>
    <row r="176" spans="19:19" x14ac:dyDescent="0.3">
      <c r="S176" s="32">
        <f t="shared" si="2"/>
        <v>0</v>
      </c>
    </row>
    <row r="177" spans="19:19" x14ac:dyDescent="0.3">
      <c r="S177" s="32">
        <f t="shared" si="2"/>
        <v>0</v>
      </c>
    </row>
    <row r="178" spans="19:19" x14ac:dyDescent="0.3">
      <c r="S178" s="32">
        <f t="shared" si="2"/>
        <v>0</v>
      </c>
    </row>
    <row r="179" spans="19:19" x14ac:dyDescent="0.3">
      <c r="S179" s="32">
        <f t="shared" si="2"/>
        <v>0</v>
      </c>
    </row>
    <row r="180" spans="19:19" x14ac:dyDescent="0.3">
      <c r="S180" s="32">
        <f t="shared" si="2"/>
        <v>0</v>
      </c>
    </row>
    <row r="181" spans="19:19" x14ac:dyDescent="0.3">
      <c r="S181" s="32">
        <f t="shared" si="2"/>
        <v>0</v>
      </c>
    </row>
    <row r="182" spans="19:19" x14ac:dyDescent="0.3">
      <c r="S182" s="32">
        <f t="shared" si="2"/>
        <v>0</v>
      </c>
    </row>
    <row r="183" spans="19:19" x14ac:dyDescent="0.3">
      <c r="S183" s="32">
        <f t="shared" si="2"/>
        <v>0</v>
      </c>
    </row>
    <row r="184" spans="19:19" x14ac:dyDescent="0.3">
      <c r="S184" s="32">
        <f t="shared" si="2"/>
        <v>0</v>
      </c>
    </row>
    <row r="185" spans="19:19" x14ac:dyDescent="0.3">
      <c r="S185" s="32">
        <f t="shared" si="2"/>
        <v>0</v>
      </c>
    </row>
    <row r="186" spans="19:19" x14ac:dyDescent="0.3">
      <c r="S186" s="32">
        <f t="shared" si="2"/>
        <v>0</v>
      </c>
    </row>
    <row r="187" spans="19:19" x14ac:dyDescent="0.3">
      <c r="S187" s="32">
        <f t="shared" si="2"/>
        <v>0</v>
      </c>
    </row>
    <row r="188" spans="19:19" x14ac:dyDescent="0.3">
      <c r="S188" s="32">
        <f t="shared" si="2"/>
        <v>0</v>
      </c>
    </row>
    <row r="189" spans="19:19" x14ac:dyDescent="0.3">
      <c r="S189" s="32">
        <f t="shared" si="2"/>
        <v>0</v>
      </c>
    </row>
    <row r="190" spans="19:19" x14ac:dyDescent="0.3">
      <c r="S190" s="32">
        <f t="shared" si="2"/>
        <v>0</v>
      </c>
    </row>
    <row r="191" spans="19:19" x14ac:dyDescent="0.3">
      <c r="S191" s="32">
        <f t="shared" si="2"/>
        <v>0</v>
      </c>
    </row>
    <row r="192" spans="19:19" x14ac:dyDescent="0.3">
      <c r="S192" s="32">
        <f t="shared" si="2"/>
        <v>0</v>
      </c>
    </row>
    <row r="193" spans="19:19" x14ac:dyDescent="0.3">
      <c r="S193" s="32">
        <f t="shared" si="2"/>
        <v>0</v>
      </c>
    </row>
    <row r="194" spans="19:19" x14ac:dyDescent="0.3">
      <c r="S194" s="32">
        <f t="shared" si="2"/>
        <v>0</v>
      </c>
    </row>
    <row r="195" spans="19:19" x14ac:dyDescent="0.3">
      <c r="S195" s="32">
        <f t="shared" si="2"/>
        <v>0</v>
      </c>
    </row>
    <row r="196" spans="19:19" x14ac:dyDescent="0.3">
      <c r="S196" s="32">
        <f t="shared" si="2"/>
        <v>0</v>
      </c>
    </row>
    <row r="197" spans="19:19" x14ac:dyDescent="0.3">
      <c r="S197" s="32">
        <f t="shared" ref="S197:S260" si="3">SUM(N197:R197)</f>
        <v>0</v>
      </c>
    </row>
    <row r="198" spans="19:19" x14ac:dyDescent="0.3">
      <c r="S198" s="32">
        <f t="shared" si="3"/>
        <v>0</v>
      </c>
    </row>
    <row r="199" spans="19:19" x14ac:dyDescent="0.3">
      <c r="S199" s="32">
        <f t="shared" si="3"/>
        <v>0</v>
      </c>
    </row>
    <row r="200" spans="19:19" x14ac:dyDescent="0.3">
      <c r="S200" s="32">
        <f t="shared" si="3"/>
        <v>0</v>
      </c>
    </row>
    <row r="201" spans="19:19" x14ac:dyDescent="0.3">
      <c r="S201" s="32">
        <f t="shared" si="3"/>
        <v>0</v>
      </c>
    </row>
    <row r="202" spans="19:19" x14ac:dyDescent="0.3">
      <c r="S202" s="32">
        <f t="shared" si="3"/>
        <v>0</v>
      </c>
    </row>
    <row r="203" spans="19:19" x14ac:dyDescent="0.3">
      <c r="S203" s="32">
        <f t="shared" si="3"/>
        <v>0</v>
      </c>
    </row>
    <row r="204" spans="19:19" x14ac:dyDescent="0.3">
      <c r="S204" s="32">
        <f t="shared" si="3"/>
        <v>0</v>
      </c>
    </row>
    <row r="205" spans="19:19" x14ac:dyDescent="0.3">
      <c r="S205" s="32">
        <f t="shared" si="3"/>
        <v>0</v>
      </c>
    </row>
    <row r="206" spans="19:19" x14ac:dyDescent="0.3">
      <c r="S206" s="32">
        <f t="shared" si="3"/>
        <v>0</v>
      </c>
    </row>
    <row r="207" spans="19:19" x14ac:dyDescent="0.3">
      <c r="S207" s="32">
        <f t="shared" si="3"/>
        <v>0</v>
      </c>
    </row>
    <row r="208" spans="19:19" x14ac:dyDescent="0.3">
      <c r="S208" s="32">
        <f t="shared" si="3"/>
        <v>0</v>
      </c>
    </row>
    <row r="209" spans="19:19" x14ac:dyDescent="0.3">
      <c r="S209" s="32">
        <f t="shared" si="3"/>
        <v>0</v>
      </c>
    </row>
    <row r="210" spans="19:19" x14ac:dyDescent="0.3">
      <c r="S210" s="32">
        <f t="shared" si="3"/>
        <v>0</v>
      </c>
    </row>
    <row r="211" spans="19:19" x14ac:dyDescent="0.3">
      <c r="S211" s="32">
        <f t="shared" si="3"/>
        <v>0</v>
      </c>
    </row>
    <row r="212" spans="19:19" x14ac:dyDescent="0.3">
      <c r="S212" s="32">
        <f t="shared" si="3"/>
        <v>0</v>
      </c>
    </row>
    <row r="213" spans="19:19" x14ac:dyDescent="0.3">
      <c r="S213" s="32">
        <f t="shared" si="3"/>
        <v>0</v>
      </c>
    </row>
    <row r="214" spans="19:19" x14ac:dyDescent="0.3">
      <c r="S214" s="32">
        <f t="shared" si="3"/>
        <v>0</v>
      </c>
    </row>
    <row r="215" spans="19:19" x14ac:dyDescent="0.3">
      <c r="S215" s="32">
        <f t="shared" si="3"/>
        <v>0</v>
      </c>
    </row>
    <row r="216" spans="19:19" x14ac:dyDescent="0.3">
      <c r="S216" s="32">
        <f t="shared" si="3"/>
        <v>0</v>
      </c>
    </row>
    <row r="217" spans="19:19" x14ac:dyDescent="0.3">
      <c r="S217" s="32">
        <f t="shared" si="3"/>
        <v>0</v>
      </c>
    </row>
    <row r="218" spans="19:19" x14ac:dyDescent="0.3">
      <c r="S218" s="32">
        <f t="shared" si="3"/>
        <v>0</v>
      </c>
    </row>
    <row r="219" spans="19:19" x14ac:dyDescent="0.3">
      <c r="S219" s="32">
        <f t="shared" si="3"/>
        <v>0</v>
      </c>
    </row>
    <row r="220" spans="19:19" x14ac:dyDescent="0.3">
      <c r="S220" s="32">
        <f t="shared" si="3"/>
        <v>0</v>
      </c>
    </row>
    <row r="221" spans="19:19" x14ac:dyDescent="0.3">
      <c r="S221" s="32">
        <f t="shared" si="3"/>
        <v>0</v>
      </c>
    </row>
    <row r="222" spans="19:19" x14ac:dyDescent="0.3">
      <c r="S222" s="32">
        <f t="shared" si="3"/>
        <v>0</v>
      </c>
    </row>
    <row r="223" spans="19:19" x14ac:dyDescent="0.3">
      <c r="S223" s="32">
        <f t="shared" si="3"/>
        <v>0</v>
      </c>
    </row>
    <row r="224" spans="19:19" x14ac:dyDescent="0.3">
      <c r="S224" s="32">
        <f t="shared" si="3"/>
        <v>0</v>
      </c>
    </row>
    <row r="225" spans="19:19" x14ac:dyDescent="0.3">
      <c r="S225" s="32">
        <f t="shared" si="3"/>
        <v>0</v>
      </c>
    </row>
    <row r="226" spans="19:19" x14ac:dyDescent="0.3">
      <c r="S226" s="32">
        <f t="shared" si="3"/>
        <v>0</v>
      </c>
    </row>
    <row r="227" spans="19:19" x14ac:dyDescent="0.3">
      <c r="S227" s="32">
        <f t="shared" si="3"/>
        <v>0</v>
      </c>
    </row>
    <row r="228" spans="19:19" x14ac:dyDescent="0.3">
      <c r="S228" s="32">
        <f t="shared" si="3"/>
        <v>0</v>
      </c>
    </row>
    <row r="229" spans="19:19" x14ac:dyDescent="0.3">
      <c r="S229" s="32">
        <f t="shared" si="3"/>
        <v>0</v>
      </c>
    </row>
    <row r="230" spans="19:19" x14ac:dyDescent="0.3">
      <c r="S230" s="32">
        <f t="shared" si="3"/>
        <v>0</v>
      </c>
    </row>
    <row r="231" spans="19:19" x14ac:dyDescent="0.3">
      <c r="S231" s="32">
        <f t="shared" si="3"/>
        <v>0</v>
      </c>
    </row>
    <row r="232" spans="19:19" x14ac:dyDescent="0.3">
      <c r="S232" s="32">
        <f t="shared" si="3"/>
        <v>0</v>
      </c>
    </row>
    <row r="233" spans="19:19" x14ac:dyDescent="0.3">
      <c r="S233" s="32">
        <f t="shared" si="3"/>
        <v>0</v>
      </c>
    </row>
    <row r="234" spans="19:19" x14ac:dyDescent="0.3">
      <c r="S234" s="32">
        <f t="shared" si="3"/>
        <v>0</v>
      </c>
    </row>
    <row r="235" spans="19:19" x14ac:dyDescent="0.3">
      <c r="S235" s="32">
        <f t="shared" si="3"/>
        <v>0</v>
      </c>
    </row>
    <row r="236" spans="19:19" x14ac:dyDescent="0.3">
      <c r="S236" s="32">
        <f t="shared" si="3"/>
        <v>0</v>
      </c>
    </row>
    <row r="237" spans="19:19" x14ac:dyDescent="0.3">
      <c r="S237" s="32">
        <f t="shared" si="3"/>
        <v>0</v>
      </c>
    </row>
    <row r="238" spans="19:19" x14ac:dyDescent="0.3">
      <c r="S238" s="32">
        <f t="shared" si="3"/>
        <v>0</v>
      </c>
    </row>
    <row r="239" spans="19:19" x14ac:dyDescent="0.3">
      <c r="S239" s="32">
        <f t="shared" si="3"/>
        <v>0</v>
      </c>
    </row>
    <row r="240" spans="19:19" x14ac:dyDescent="0.3">
      <c r="S240" s="32">
        <f t="shared" si="3"/>
        <v>0</v>
      </c>
    </row>
    <row r="241" spans="19:19" x14ac:dyDescent="0.3">
      <c r="S241" s="32">
        <f t="shared" si="3"/>
        <v>0</v>
      </c>
    </row>
    <row r="242" spans="19:19" x14ac:dyDescent="0.3">
      <c r="S242" s="32">
        <f t="shared" si="3"/>
        <v>0</v>
      </c>
    </row>
    <row r="243" spans="19:19" x14ac:dyDescent="0.3">
      <c r="S243" s="32">
        <f t="shared" si="3"/>
        <v>0</v>
      </c>
    </row>
    <row r="244" spans="19:19" x14ac:dyDescent="0.3">
      <c r="S244" s="32">
        <f t="shared" si="3"/>
        <v>0</v>
      </c>
    </row>
    <row r="245" spans="19:19" x14ac:dyDescent="0.3">
      <c r="S245" s="32">
        <f t="shared" si="3"/>
        <v>0</v>
      </c>
    </row>
    <row r="246" spans="19:19" x14ac:dyDescent="0.3">
      <c r="S246" s="32">
        <f t="shared" si="3"/>
        <v>0</v>
      </c>
    </row>
    <row r="247" spans="19:19" x14ac:dyDescent="0.3">
      <c r="S247" s="32">
        <f t="shared" si="3"/>
        <v>0</v>
      </c>
    </row>
    <row r="248" spans="19:19" x14ac:dyDescent="0.3">
      <c r="S248" s="32">
        <f t="shared" si="3"/>
        <v>0</v>
      </c>
    </row>
    <row r="249" spans="19:19" x14ac:dyDescent="0.3">
      <c r="S249" s="32">
        <f t="shared" si="3"/>
        <v>0</v>
      </c>
    </row>
    <row r="250" spans="19:19" x14ac:dyDescent="0.3">
      <c r="S250" s="32">
        <f t="shared" si="3"/>
        <v>0</v>
      </c>
    </row>
    <row r="251" spans="19:19" x14ac:dyDescent="0.3">
      <c r="S251" s="32">
        <f t="shared" si="3"/>
        <v>0</v>
      </c>
    </row>
    <row r="252" spans="19:19" x14ac:dyDescent="0.3">
      <c r="S252" s="32">
        <f t="shared" si="3"/>
        <v>0</v>
      </c>
    </row>
    <row r="253" spans="19:19" x14ac:dyDescent="0.3">
      <c r="S253" s="32">
        <f t="shared" si="3"/>
        <v>0</v>
      </c>
    </row>
    <row r="254" spans="19:19" x14ac:dyDescent="0.3">
      <c r="S254" s="32">
        <f t="shared" si="3"/>
        <v>0</v>
      </c>
    </row>
    <row r="255" spans="19:19" x14ac:dyDescent="0.3">
      <c r="S255" s="32">
        <f t="shared" si="3"/>
        <v>0</v>
      </c>
    </row>
    <row r="256" spans="19:19" x14ac:dyDescent="0.3">
      <c r="S256" s="32">
        <f t="shared" si="3"/>
        <v>0</v>
      </c>
    </row>
    <row r="257" spans="19:19" x14ac:dyDescent="0.3">
      <c r="S257" s="32">
        <f t="shared" si="3"/>
        <v>0</v>
      </c>
    </row>
    <row r="258" spans="19:19" x14ac:dyDescent="0.3">
      <c r="S258" s="32">
        <f t="shared" si="3"/>
        <v>0</v>
      </c>
    </row>
    <row r="259" spans="19:19" x14ac:dyDescent="0.3">
      <c r="S259" s="32">
        <f t="shared" si="3"/>
        <v>0</v>
      </c>
    </row>
    <row r="260" spans="19:19" x14ac:dyDescent="0.3">
      <c r="S260" s="32">
        <f t="shared" si="3"/>
        <v>0</v>
      </c>
    </row>
    <row r="261" spans="19:19" x14ac:dyDescent="0.3">
      <c r="S261" s="32">
        <f t="shared" ref="S261:S324" si="4">SUM(N261:R261)</f>
        <v>0</v>
      </c>
    </row>
    <row r="262" spans="19:19" x14ac:dyDescent="0.3">
      <c r="S262" s="32">
        <f t="shared" si="4"/>
        <v>0</v>
      </c>
    </row>
    <row r="263" spans="19:19" x14ac:dyDescent="0.3">
      <c r="S263" s="32">
        <f t="shared" si="4"/>
        <v>0</v>
      </c>
    </row>
    <row r="264" spans="19:19" x14ac:dyDescent="0.3">
      <c r="S264" s="32">
        <f t="shared" si="4"/>
        <v>0</v>
      </c>
    </row>
    <row r="265" spans="19:19" x14ac:dyDescent="0.3">
      <c r="S265" s="32">
        <f t="shared" si="4"/>
        <v>0</v>
      </c>
    </row>
    <row r="266" spans="19:19" x14ac:dyDescent="0.3">
      <c r="S266" s="32">
        <f t="shared" si="4"/>
        <v>0</v>
      </c>
    </row>
    <row r="267" spans="19:19" x14ac:dyDescent="0.3">
      <c r="S267" s="32">
        <f t="shared" si="4"/>
        <v>0</v>
      </c>
    </row>
    <row r="268" spans="19:19" x14ac:dyDescent="0.3">
      <c r="S268" s="32">
        <f t="shared" si="4"/>
        <v>0</v>
      </c>
    </row>
    <row r="269" spans="19:19" x14ac:dyDescent="0.3">
      <c r="S269" s="32">
        <f t="shared" si="4"/>
        <v>0</v>
      </c>
    </row>
    <row r="270" spans="19:19" x14ac:dyDescent="0.3">
      <c r="S270" s="32">
        <f t="shared" si="4"/>
        <v>0</v>
      </c>
    </row>
    <row r="271" spans="19:19" x14ac:dyDescent="0.3">
      <c r="S271" s="32">
        <f t="shared" si="4"/>
        <v>0</v>
      </c>
    </row>
    <row r="272" spans="19:19" x14ac:dyDescent="0.3">
      <c r="S272" s="32">
        <f t="shared" si="4"/>
        <v>0</v>
      </c>
    </row>
    <row r="273" spans="19:19" x14ac:dyDescent="0.3">
      <c r="S273" s="32">
        <f t="shared" si="4"/>
        <v>0</v>
      </c>
    </row>
    <row r="274" spans="19:19" x14ac:dyDescent="0.3">
      <c r="S274" s="32">
        <f t="shared" si="4"/>
        <v>0</v>
      </c>
    </row>
    <row r="275" spans="19:19" x14ac:dyDescent="0.3">
      <c r="S275" s="32">
        <f t="shared" si="4"/>
        <v>0</v>
      </c>
    </row>
    <row r="276" spans="19:19" x14ac:dyDescent="0.3">
      <c r="S276" s="32">
        <f t="shared" si="4"/>
        <v>0</v>
      </c>
    </row>
    <row r="277" spans="19:19" x14ac:dyDescent="0.3">
      <c r="S277" s="32">
        <f t="shared" si="4"/>
        <v>0</v>
      </c>
    </row>
    <row r="278" spans="19:19" x14ac:dyDescent="0.3">
      <c r="S278" s="32">
        <f t="shared" si="4"/>
        <v>0</v>
      </c>
    </row>
    <row r="279" spans="19:19" x14ac:dyDescent="0.3">
      <c r="S279" s="32">
        <f t="shared" si="4"/>
        <v>0</v>
      </c>
    </row>
    <row r="280" spans="19:19" x14ac:dyDescent="0.3">
      <c r="S280" s="32">
        <f t="shared" si="4"/>
        <v>0</v>
      </c>
    </row>
    <row r="281" spans="19:19" x14ac:dyDescent="0.3">
      <c r="S281" s="32">
        <f t="shared" si="4"/>
        <v>0</v>
      </c>
    </row>
    <row r="282" spans="19:19" x14ac:dyDescent="0.3">
      <c r="S282" s="32">
        <f t="shared" si="4"/>
        <v>0</v>
      </c>
    </row>
    <row r="283" spans="19:19" x14ac:dyDescent="0.3">
      <c r="S283" s="32">
        <f t="shared" si="4"/>
        <v>0</v>
      </c>
    </row>
    <row r="284" spans="19:19" x14ac:dyDescent="0.3">
      <c r="S284" s="32">
        <f t="shared" si="4"/>
        <v>0</v>
      </c>
    </row>
    <row r="285" spans="19:19" x14ac:dyDescent="0.3">
      <c r="S285" s="32">
        <f t="shared" si="4"/>
        <v>0</v>
      </c>
    </row>
    <row r="286" spans="19:19" x14ac:dyDescent="0.3">
      <c r="S286" s="32">
        <f t="shared" si="4"/>
        <v>0</v>
      </c>
    </row>
    <row r="287" spans="19:19" x14ac:dyDescent="0.3">
      <c r="S287" s="32">
        <f t="shared" si="4"/>
        <v>0</v>
      </c>
    </row>
    <row r="288" spans="19:19" x14ac:dyDescent="0.3">
      <c r="S288" s="32">
        <f t="shared" si="4"/>
        <v>0</v>
      </c>
    </row>
    <row r="289" spans="19:19" x14ac:dyDescent="0.3">
      <c r="S289" s="32">
        <f t="shared" si="4"/>
        <v>0</v>
      </c>
    </row>
    <row r="290" spans="19:19" x14ac:dyDescent="0.3">
      <c r="S290" s="32">
        <f t="shared" si="4"/>
        <v>0</v>
      </c>
    </row>
    <row r="291" spans="19:19" x14ac:dyDescent="0.3">
      <c r="S291" s="32">
        <f t="shared" si="4"/>
        <v>0</v>
      </c>
    </row>
    <row r="292" spans="19:19" x14ac:dyDescent="0.3">
      <c r="S292" s="32">
        <f t="shared" si="4"/>
        <v>0</v>
      </c>
    </row>
    <row r="293" spans="19:19" x14ac:dyDescent="0.3">
      <c r="S293" s="32">
        <f t="shared" si="4"/>
        <v>0</v>
      </c>
    </row>
    <row r="294" spans="19:19" x14ac:dyDescent="0.3">
      <c r="S294" s="32">
        <f t="shared" si="4"/>
        <v>0</v>
      </c>
    </row>
    <row r="295" spans="19:19" x14ac:dyDescent="0.3">
      <c r="S295" s="32">
        <f t="shared" si="4"/>
        <v>0</v>
      </c>
    </row>
    <row r="296" spans="19:19" x14ac:dyDescent="0.3">
      <c r="S296" s="32">
        <f t="shared" si="4"/>
        <v>0</v>
      </c>
    </row>
    <row r="297" spans="19:19" x14ac:dyDescent="0.3">
      <c r="S297" s="32">
        <f t="shared" si="4"/>
        <v>0</v>
      </c>
    </row>
    <row r="298" spans="19:19" x14ac:dyDescent="0.3">
      <c r="S298" s="32">
        <f t="shared" si="4"/>
        <v>0</v>
      </c>
    </row>
    <row r="299" spans="19:19" x14ac:dyDescent="0.3">
      <c r="S299" s="32">
        <f t="shared" si="4"/>
        <v>0</v>
      </c>
    </row>
    <row r="300" spans="19:19" x14ac:dyDescent="0.3">
      <c r="S300" s="32">
        <f t="shared" si="4"/>
        <v>0</v>
      </c>
    </row>
    <row r="301" spans="19:19" x14ac:dyDescent="0.3">
      <c r="S301" s="32">
        <f t="shared" si="4"/>
        <v>0</v>
      </c>
    </row>
    <row r="302" spans="19:19" x14ac:dyDescent="0.3">
      <c r="S302" s="32">
        <f t="shared" si="4"/>
        <v>0</v>
      </c>
    </row>
    <row r="303" spans="19:19" x14ac:dyDescent="0.3">
      <c r="S303" s="32">
        <f t="shared" si="4"/>
        <v>0</v>
      </c>
    </row>
    <row r="304" spans="19:19" x14ac:dyDescent="0.3">
      <c r="S304" s="32">
        <f t="shared" si="4"/>
        <v>0</v>
      </c>
    </row>
    <row r="305" spans="19:19" x14ac:dyDescent="0.3">
      <c r="S305" s="32">
        <f t="shared" si="4"/>
        <v>0</v>
      </c>
    </row>
    <row r="306" spans="19:19" x14ac:dyDescent="0.3">
      <c r="S306" s="32">
        <f t="shared" si="4"/>
        <v>0</v>
      </c>
    </row>
    <row r="307" spans="19:19" x14ac:dyDescent="0.3">
      <c r="S307" s="32">
        <f t="shared" si="4"/>
        <v>0</v>
      </c>
    </row>
    <row r="308" spans="19:19" x14ac:dyDescent="0.3">
      <c r="S308" s="32">
        <f t="shared" si="4"/>
        <v>0</v>
      </c>
    </row>
    <row r="309" spans="19:19" x14ac:dyDescent="0.3">
      <c r="S309" s="32">
        <f t="shared" si="4"/>
        <v>0</v>
      </c>
    </row>
    <row r="310" spans="19:19" x14ac:dyDescent="0.3">
      <c r="S310" s="32">
        <f t="shared" si="4"/>
        <v>0</v>
      </c>
    </row>
    <row r="311" spans="19:19" x14ac:dyDescent="0.3">
      <c r="S311" s="32">
        <f t="shared" si="4"/>
        <v>0</v>
      </c>
    </row>
    <row r="312" spans="19:19" x14ac:dyDescent="0.3">
      <c r="S312" s="32">
        <f t="shared" si="4"/>
        <v>0</v>
      </c>
    </row>
    <row r="313" spans="19:19" x14ac:dyDescent="0.3">
      <c r="S313" s="32">
        <f t="shared" si="4"/>
        <v>0</v>
      </c>
    </row>
    <row r="314" spans="19:19" x14ac:dyDescent="0.3">
      <c r="S314" s="32">
        <f t="shared" si="4"/>
        <v>0</v>
      </c>
    </row>
    <row r="315" spans="19:19" x14ac:dyDescent="0.3">
      <c r="S315" s="32">
        <f t="shared" si="4"/>
        <v>0</v>
      </c>
    </row>
    <row r="316" spans="19:19" x14ac:dyDescent="0.3">
      <c r="S316" s="32">
        <f t="shared" si="4"/>
        <v>0</v>
      </c>
    </row>
    <row r="317" spans="19:19" x14ac:dyDescent="0.3">
      <c r="S317" s="32">
        <f t="shared" si="4"/>
        <v>0</v>
      </c>
    </row>
    <row r="318" spans="19:19" x14ac:dyDescent="0.3">
      <c r="S318" s="32">
        <f t="shared" si="4"/>
        <v>0</v>
      </c>
    </row>
    <row r="319" spans="19:19" x14ac:dyDescent="0.3">
      <c r="S319" s="32">
        <f t="shared" si="4"/>
        <v>0</v>
      </c>
    </row>
    <row r="320" spans="19:19" x14ac:dyDescent="0.3">
      <c r="S320" s="32">
        <f t="shared" si="4"/>
        <v>0</v>
      </c>
    </row>
    <row r="321" spans="19:19" x14ac:dyDescent="0.3">
      <c r="S321" s="32">
        <f t="shared" si="4"/>
        <v>0</v>
      </c>
    </row>
    <row r="322" spans="19:19" x14ac:dyDescent="0.3">
      <c r="S322" s="32">
        <f t="shared" si="4"/>
        <v>0</v>
      </c>
    </row>
    <row r="323" spans="19:19" x14ac:dyDescent="0.3">
      <c r="S323" s="32">
        <f t="shared" si="4"/>
        <v>0</v>
      </c>
    </row>
    <row r="324" spans="19:19" x14ac:dyDescent="0.3">
      <c r="S324" s="32">
        <f t="shared" si="4"/>
        <v>0</v>
      </c>
    </row>
    <row r="325" spans="19:19" x14ac:dyDescent="0.3">
      <c r="S325" s="32">
        <f t="shared" ref="S325:S388" si="5">SUM(N325:R325)</f>
        <v>0</v>
      </c>
    </row>
    <row r="326" spans="19:19" x14ac:dyDescent="0.3">
      <c r="S326" s="32">
        <f t="shared" si="5"/>
        <v>0</v>
      </c>
    </row>
    <row r="327" spans="19:19" x14ac:dyDescent="0.3">
      <c r="S327" s="32">
        <f t="shared" si="5"/>
        <v>0</v>
      </c>
    </row>
    <row r="328" spans="19:19" x14ac:dyDescent="0.3">
      <c r="S328" s="32">
        <f t="shared" si="5"/>
        <v>0</v>
      </c>
    </row>
    <row r="329" spans="19:19" x14ac:dyDescent="0.3">
      <c r="S329" s="32">
        <f t="shared" si="5"/>
        <v>0</v>
      </c>
    </row>
    <row r="330" spans="19:19" x14ac:dyDescent="0.3">
      <c r="S330" s="32">
        <f t="shared" si="5"/>
        <v>0</v>
      </c>
    </row>
    <row r="331" spans="19:19" x14ac:dyDescent="0.3">
      <c r="S331" s="32">
        <f t="shared" si="5"/>
        <v>0</v>
      </c>
    </row>
    <row r="332" spans="19:19" x14ac:dyDescent="0.3">
      <c r="S332" s="32">
        <f t="shared" si="5"/>
        <v>0</v>
      </c>
    </row>
    <row r="333" spans="19:19" x14ac:dyDescent="0.3">
      <c r="S333" s="32">
        <f t="shared" si="5"/>
        <v>0</v>
      </c>
    </row>
    <row r="334" spans="19:19" x14ac:dyDescent="0.3">
      <c r="S334" s="32">
        <f t="shared" si="5"/>
        <v>0</v>
      </c>
    </row>
    <row r="335" spans="19:19" x14ac:dyDescent="0.3">
      <c r="S335" s="32">
        <f t="shared" si="5"/>
        <v>0</v>
      </c>
    </row>
    <row r="336" spans="19:19" x14ac:dyDescent="0.3">
      <c r="S336" s="32">
        <f t="shared" si="5"/>
        <v>0</v>
      </c>
    </row>
    <row r="337" spans="19:19" x14ac:dyDescent="0.3">
      <c r="S337" s="32">
        <f t="shared" si="5"/>
        <v>0</v>
      </c>
    </row>
    <row r="338" spans="19:19" x14ac:dyDescent="0.3">
      <c r="S338" s="32">
        <f t="shared" si="5"/>
        <v>0</v>
      </c>
    </row>
    <row r="339" spans="19:19" x14ac:dyDescent="0.3">
      <c r="S339" s="32">
        <f t="shared" si="5"/>
        <v>0</v>
      </c>
    </row>
    <row r="340" spans="19:19" x14ac:dyDescent="0.3">
      <c r="S340" s="32">
        <f t="shared" si="5"/>
        <v>0</v>
      </c>
    </row>
    <row r="341" spans="19:19" x14ac:dyDescent="0.3">
      <c r="S341" s="32">
        <f t="shared" si="5"/>
        <v>0</v>
      </c>
    </row>
    <row r="342" spans="19:19" x14ac:dyDescent="0.3">
      <c r="S342" s="32">
        <f t="shared" si="5"/>
        <v>0</v>
      </c>
    </row>
    <row r="343" spans="19:19" x14ac:dyDescent="0.3">
      <c r="S343" s="32">
        <f t="shared" si="5"/>
        <v>0</v>
      </c>
    </row>
    <row r="344" spans="19:19" x14ac:dyDescent="0.3">
      <c r="S344" s="32">
        <f t="shared" si="5"/>
        <v>0</v>
      </c>
    </row>
    <row r="345" spans="19:19" x14ac:dyDescent="0.3">
      <c r="S345" s="32">
        <f t="shared" si="5"/>
        <v>0</v>
      </c>
    </row>
    <row r="346" spans="19:19" x14ac:dyDescent="0.3">
      <c r="S346" s="32">
        <f t="shared" si="5"/>
        <v>0</v>
      </c>
    </row>
    <row r="347" spans="19:19" x14ac:dyDescent="0.3">
      <c r="S347" s="32">
        <f t="shared" si="5"/>
        <v>0</v>
      </c>
    </row>
    <row r="348" spans="19:19" x14ac:dyDescent="0.3">
      <c r="S348" s="32">
        <f t="shared" si="5"/>
        <v>0</v>
      </c>
    </row>
    <row r="349" spans="19:19" x14ac:dyDescent="0.3">
      <c r="S349" s="32">
        <f t="shared" si="5"/>
        <v>0</v>
      </c>
    </row>
    <row r="350" spans="19:19" x14ac:dyDescent="0.3">
      <c r="S350" s="32">
        <f t="shared" si="5"/>
        <v>0</v>
      </c>
    </row>
    <row r="351" spans="19:19" x14ac:dyDescent="0.3">
      <c r="S351" s="32">
        <f t="shared" si="5"/>
        <v>0</v>
      </c>
    </row>
    <row r="352" spans="19:19" x14ac:dyDescent="0.3">
      <c r="S352" s="32">
        <f t="shared" si="5"/>
        <v>0</v>
      </c>
    </row>
    <row r="353" spans="19:19" x14ac:dyDescent="0.3">
      <c r="S353" s="32">
        <f t="shared" si="5"/>
        <v>0</v>
      </c>
    </row>
    <row r="354" spans="19:19" x14ac:dyDescent="0.3">
      <c r="S354" s="32">
        <f t="shared" si="5"/>
        <v>0</v>
      </c>
    </row>
    <row r="355" spans="19:19" x14ac:dyDescent="0.3">
      <c r="S355" s="32">
        <f t="shared" si="5"/>
        <v>0</v>
      </c>
    </row>
    <row r="356" spans="19:19" x14ac:dyDescent="0.3">
      <c r="S356" s="32">
        <f t="shared" si="5"/>
        <v>0</v>
      </c>
    </row>
    <row r="357" spans="19:19" x14ac:dyDescent="0.3">
      <c r="S357" s="32">
        <f t="shared" si="5"/>
        <v>0</v>
      </c>
    </row>
    <row r="358" spans="19:19" x14ac:dyDescent="0.3">
      <c r="S358" s="32">
        <f t="shared" si="5"/>
        <v>0</v>
      </c>
    </row>
    <row r="359" spans="19:19" x14ac:dyDescent="0.3">
      <c r="S359" s="32">
        <f t="shared" si="5"/>
        <v>0</v>
      </c>
    </row>
    <row r="360" spans="19:19" x14ac:dyDescent="0.3">
      <c r="S360" s="32">
        <f t="shared" si="5"/>
        <v>0</v>
      </c>
    </row>
    <row r="361" spans="19:19" x14ac:dyDescent="0.3">
      <c r="S361" s="32">
        <f t="shared" si="5"/>
        <v>0</v>
      </c>
    </row>
    <row r="362" spans="19:19" x14ac:dyDescent="0.3">
      <c r="S362" s="32">
        <f t="shared" si="5"/>
        <v>0</v>
      </c>
    </row>
    <row r="363" spans="19:19" x14ac:dyDescent="0.3">
      <c r="S363" s="32">
        <f t="shared" si="5"/>
        <v>0</v>
      </c>
    </row>
    <row r="364" spans="19:19" x14ac:dyDescent="0.3">
      <c r="S364" s="32">
        <f t="shared" si="5"/>
        <v>0</v>
      </c>
    </row>
    <row r="365" spans="19:19" x14ac:dyDescent="0.3">
      <c r="S365" s="32">
        <f t="shared" si="5"/>
        <v>0</v>
      </c>
    </row>
    <row r="366" spans="19:19" x14ac:dyDescent="0.3">
      <c r="S366" s="32">
        <f t="shared" si="5"/>
        <v>0</v>
      </c>
    </row>
    <row r="367" spans="19:19" x14ac:dyDescent="0.3">
      <c r="S367" s="32">
        <f t="shared" si="5"/>
        <v>0</v>
      </c>
    </row>
    <row r="368" spans="19:19" x14ac:dyDescent="0.3">
      <c r="S368" s="32">
        <f t="shared" si="5"/>
        <v>0</v>
      </c>
    </row>
    <row r="369" spans="19:19" x14ac:dyDescent="0.3">
      <c r="S369" s="32">
        <f t="shared" si="5"/>
        <v>0</v>
      </c>
    </row>
    <row r="370" spans="19:19" x14ac:dyDescent="0.3">
      <c r="S370" s="32">
        <f t="shared" si="5"/>
        <v>0</v>
      </c>
    </row>
    <row r="371" spans="19:19" x14ac:dyDescent="0.3">
      <c r="S371" s="32">
        <f t="shared" si="5"/>
        <v>0</v>
      </c>
    </row>
    <row r="372" spans="19:19" x14ac:dyDescent="0.3">
      <c r="S372" s="32">
        <f t="shared" si="5"/>
        <v>0</v>
      </c>
    </row>
    <row r="373" spans="19:19" x14ac:dyDescent="0.3">
      <c r="S373" s="32">
        <f t="shared" si="5"/>
        <v>0</v>
      </c>
    </row>
    <row r="374" spans="19:19" x14ac:dyDescent="0.3">
      <c r="S374" s="32">
        <f t="shared" si="5"/>
        <v>0</v>
      </c>
    </row>
    <row r="375" spans="19:19" x14ac:dyDescent="0.3">
      <c r="S375" s="32">
        <f t="shared" si="5"/>
        <v>0</v>
      </c>
    </row>
    <row r="376" spans="19:19" x14ac:dyDescent="0.3">
      <c r="S376" s="32">
        <f t="shared" si="5"/>
        <v>0</v>
      </c>
    </row>
    <row r="377" spans="19:19" x14ac:dyDescent="0.3">
      <c r="S377" s="32">
        <f t="shared" si="5"/>
        <v>0</v>
      </c>
    </row>
    <row r="378" spans="19:19" x14ac:dyDescent="0.3">
      <c r="S378" s="32">
        <f t="shared" si="5"/>
        <v>0</v>
      </c>
    </row>
    <row r="379" spans="19:19" x14ac:dyDescent="0.3">
      <c r="S379" s="32">
        <f t="shared" si="5"/>
        <v>0</v>
      </c>
    </row>
    <row r="380" spans="19:19" x14ac:dyDescent="0.3">
      <c r="S380" s="32">
        <f t="shared" si="5"/>
        <v>0</v>
      </c>
    </row>
    <row r="381" spans="19:19" x14ac:dyDescent="0.3">
      <c r="S381" s="32">
        <f t="shared" si="5"/>
        <v>0</v>
      </c>
    </row>
    <row r="382" spans="19:19" x14ac:dyDescent="0.3">
      <c r="S382" s="32">
        <f t="shared" si="5"/>
        <v>0</v>
      </c>
    </row>
    <row r="383" spans="19:19" x14ac:dyDescent="0.3">
      <c r="S383" s="32">
        <f t="shared" si="5"/>
        <v>0</v>
      </c>
    </row>
    <row r="384" spans="19:19" x14ac:dyDescent="0.3">
      <c r="S384" s="32">
        <f t="shared" si="5"/>
        <v>0</v>
      </c>
    </row>
    <row r="385" spans="19:19" x14ac:dyDescent="0.3">
      <c r="S385" s="32">
        <f t="shared" si="5"/>
        <v>0</v>
      </c>
    </row>
    <row r="386" spans="19:19" x14ac:dyDescent="0.3">
      <c r="S386" s="32">
        <f t="shared" si="5"/>
        <v>0</v>
      </c>
    </row>
    <row r="387" spans="19:19" x14ac:dyDescent="0.3">
      <c r="S387" s="32">
        <f t="shared" si="5"/>
        <v>0</v>
      </c>
    </row>
    <row r="388" spans="19:19" x14ac:dyDescent="0.3">
      <c r="S388" s="32">
        <f t="shared" si="5"/>
        <v>0</v>
      </c>
    </row>
    <row r="389" spans="19:19" x14ac:dyDescent="0.3">
      <c r="S389" s="32">
        <f t="shared" ref="S389:S452" si="6">SUM(N389:R389)</f>
        <v>0</v>
      </c>
    </row>
    <row r="390" spans="19:19" x14ac:dyDescent="0.3">
      <c r="S390" s="32">
        <f t="shared" si="6"/>
        <v>0</v>
      </c>
    </row>
    <row r="391" spans="19:19" x14ac:dyDescent="0.3">
      <c r="S391" s="32">
        <f t="shared" si="6"/>
        <v>0</v>
      </c>
    </row>
    <row r="392" spans="19:19" x14ac:dyDescent="0.3">
      <c r="S392" s="32">
        <f t="shared" si="6"/>
        <v>0</v>
      </c>
    </row>
    <row r="393" spans="19:19" x14ac:dyDescent="0.3">
      <c r="S393" s="32">
        <f t="shared" si="6"/>
        <v>0</v>
      </c>
    </row>
    <row r="394" spans="19:19" x14ac:dyDescent="0.3">
      <c r="S394" s="32">
        <f t="shared" si="6"/>
        <v>0</v>
      </c>
    </row>
    <row r="395" spans="19:19" x14ac:dyDescent="0.3">
      <c r="S395" s="32">
        <f t="shared" si="6"/>
        <v>0</v>
      </c>
    </row>
    <row r="396" spans="19:19" x14ac:dyDescent="0.3">
      <c r="S396" s="32">
        <f t="shared" si="6"/>
        <v>0</v>
      </c>
    </row>
    <row r="397" spans="19:19" x14ac:dyDescent="0.3">
      <c r="S397" s="32">
        <f t="shared" si="6"/>
        <v>0</v>
      </c>
    </row>
    <row r="398" spans="19:19" x14ac:dyDescent="0.3">
      <c r="S398" s="32">
        <f t="shared" si="6"/>
        <v>0</v>
      </c>
    </row>
    <row r="399" spans="19:19" x14ac:dyDescent="0.3">
      <c r="S399" s="32">
        <f t="shared" si="6"/>
        <v>0</v>
      </c>
    </row>
    <row r="400" spans="19:19" x14ac:dyDescent="0.3">
      <c r="S400" s="32">
        <f t="shared" si="6"/>
        <v>0</v>
      </c>
    </row>
    <row r="401" spans="19:19" x14ac:dyDescent="0.3">
      <c r="S401" s="32">
        <f t="shared" si="6"/>
        <v>0</v>
      </c>
    </row>
    <row r="402" spans="19:19" x14ac:dyDescent="0.3">
      <c r="S402" s="32">
        <f t="shared" si="6"/>
        <v>0</v>
      </c>
    </row>
    <row r="403" spans="19:19" x14ac:dyDescent="0.3">
      <c r="S403" s="32">
        <f t="shared" si="6"/>
        <v>0</v>
      </c>
    </row>
    <row r="404" spans="19:19" x14ac:dyDescent="0.3">
      <c r="S404" s="32">
        <f t="shared" si="6"/>
        <v>0</v>
      </c>
    </row>
    <row r="405" spans="19:19" x14ac:dyDescent="0.3">
      <c r="S405" s="32">
        <f t="shared" si="6"/>
        <v>0</v>
      </c>
    </row>
    <row r="406" spans="19:19" x14ac:dyDescent="0.3">
      <c r="S406" s="32">
        <f t="shared" si="6"/>
        <v>0</v>
      </c>
    </row>
    <row r="407" spans="19:19" x14ac:dyDescent="0.3">
      <c r="S407" s="32">
        <f t="shared" si="6"/>
        <v>0</v>
      </c>
    </row>
    <row r="408" spans="19:19" x14ac:dyDescent="0.3">
      <c r="S408" s="32">
        <f t="shared" si="6"/>
        <v>0</v>
      </c>
    </row>
    <row r="409" spans="19:19" x14ac:dyDescent="0.3">
      <c r="S409" s="32">
        <f t="shared" si="6"/>
        <v>0</v>
      </c>
    </row>
    <row r="410" spans="19:19" x14ac:dyDescent="0.3">
      <c r="S410" s="32">
        <f t="shared" si="6"/>
        <v>0</v>
      </c>
    </row>
    <row r="411" spans="19:19" x14ac:dyDescent="0.3">
      <c r="S411" s="32">
        <f t="shared" si="6"/>
        <v>0</v>
      </c>
    </row>
    <row r="412" spans="19:19" x14ac:dyDescent="0.3">
      <c r="S412" s="32">
        <f t="shared" si="6"/>
        <v>0</v>
      </c>
    </row>
    <row r="413" spans="19:19" x14ac:dyDescent="0.3">
      <c r="S413" s="32">
        <f t="shared" si="6"/>
        <v>0</v>
      </c>
    </row>
    <row r="414" spans="19:19" x14ac:dyDescent="0.3">
      <c r="S414" s="32">
        <f t="shared" si="6"/>
        <v>0</v>
      </c>
    </row>
    <row r="415" spans="19:19" x14ac:dyDescent="0.3">
      <c r="S415" s="32">
        <f t="shared" si="6"/>
        <v>0</v>
      </c>
    </row>
    <row r="416" spans="19:19" x14ac:dyDescent="0.3">
      <c r="S416" s="32">
        <f t="shared" si="6"/>
        <v>0</v>
      </c>
    </row>
    <row r="417" spans="19:19" x14ac:dyDescent="0.3">
      <c r="S417" s="32">
        <f t="shared" si="6"/>
        <v>0</v>
      </c>
    </row>
    <row r="418" spans="19:19" x14ac:dyDescent="0.3">
      <c r="S418" s="32">
        <f t="shared" si="6"/>
        <v>0</v>
      </c>
    </row>
    <row r="419" spans="19:19" x14ac:dyDescent="0.3">
      <c r="S419" s="32">
        <f t="shared" si="6"/>
        <v>0</v>
      </c>
    </row>
    <row r="420" spans="19:19" x14ac:dyDescent="0.3">
      <c r="S420" s="32">
        <f t="shared" si="6"/>
        <v>0</v>
      </c>
    </row>
    <row r="421" spans="19:19" x14ac:dyDescent="0.3">
      <c r="S421" s="32">
        <f t="shared" si="6"/>
        <v>0</v>
      </c>
    </row>
    <row r="422" spans="19:19" x14ac:dyDescent="0.3">
      <c r="S422" s="32">
        <f t="shared" si="6"/>
        <v>0</v>
      </c>
    </row>
    <row r="423" spans="19:19" x14ac:dyDescent="0.3">
      <c r="S423" s="32">
        <f t="shared" si="6"/>
        <v>0</v>
      </c>
    </row>
    <row r="424" spans="19:19" x14ac:dyDescent="0.3">
      <c r="S424" s="32">
        <f t="shared" si="6"/>
        <v>0</v>
      </c>
    </row>
    <row r="425" spans="19:19" x14ac:dyDescent="0.3">
      <c r="S425" s="32">
        <f t="shared" si="6"/>
        <v>0</v>
      </c>
    </row>
    <row r="426" spans="19:19" x14ac:dyDescent="0.3">
      <c r="S426" s="32">
        <f t="shared" si="6"/>
        <v>0</v>
      </c>
    </row>
    <row r="427" spans="19:19" x14ac:dyDescent="0.3">
      <c r="S427" s="32">
        <f t="shared" si="6"/>
        <v>0</v>
      </c>
    </row>
    <row r="428" spans="19:19" x14ac:dyDescent="0.3">
      <c r="S428" s="32">
        <f t="shared" si="6"/>
        <v>0</v>
      </c>
    </row>
    <row r="429" spans="19:19" x14ac:dyDescent="0.3">
      <c r="S429" s="32">
        <f t="shared" si="6"/>
        <v>0</v>
      </c>
    </row>
    <row r="430" spans="19:19" x14ac:dyDescent="0.3">
      <c r="S430" s="32">
        <f t="shared" si="6"/>
        <v>0</v>
      </c>
    </row>
    <row r="431" spans="19:19" x14ac:dyDescent="0.3">
      <c r="S431" s="32">
        <f t="shared" si="6"/>
        <v>0</v>
      </c>
    </row>
    <row r="432" spans="19:19" x14ac:dyDescent="0.3">
      <c r="S432" s="32">
        <f t="shared" si="6"/>
        <v>0</v>
      </c>
    </row>
    <row r="433" spans="19:19" x14ac:dyDescent="0.3">
      <c r="S433" s="32">
        <f t="shared" si="6"/>
        <v>0</v>
      </c>
    </row>
    <row r="434" spans="19:19" x14ac:dyDescent="0.3">
      <c r="S434" s="32">
        <f t="shared" si="6"/>
        <v>0</v>
      </c>
    </row>
    <row r="435" spans="19:19" x14ac:dyDescent="0.3">
      <c r="S435" s="32">
        <f t="shared" si="6"/>
        <v>0</v>
      </c>
    </row>
    <row r="436" spans="19:19" x14ac:dyDescent="0.3">
      <c r="S436" s="32">
        <f t="shared" si="6"/>
        <v>0</v>
      </c>
    </row>
    <row r="437" spans="19:19" x14ac:dyDescent="0.3">
      <c r="S437" s="32">
        <f t="shared" si="6"/>
        <v>0</v>
      </c>
    </row>
    <row r="438" spans="19:19" x14ac:dyDescent="0.3">
      <c r="S438" s="32">
        <f t="shared" si="6"/>
        <v>0</v>
      </c>
    </row>
    <row r="439" spans="19:19" x14ac:dyDescent="0.3">
      <c r="S439" s="32">
        <f t="shared" si="6"/>
        <v>0</v>
      </c>
    </row>
    <row r="440" spans="19:19" x14ac:dyDescent="0.3">
      <c r="S440" s="32">
        <f t="shared" si="6"/>
        <v>0</v>
      </c>
    </row>
    <row r="441" spans="19:19" x14ac:dyDescent="0.3">
      <c r="S441" s="32">
        <f t="shared" si="6"/>
        <v>0</v>
      </c>
    </row>
    <row r="442" spans="19:19" x14ac:dyDescent="0.3">
      <c r="S442" s="32">
        <f t="shared" si="6"/>
        <v>0</v>
      </c>
    </row>
    <row r="443" spans="19:19" x14ac:dyDescent="0.3">
      <c r="S443" s="32">
        <f t="shared" si="6"/>
        <v>0</v>
      </c>
    </row>
    <row r="444" spans="19:19" x14ac:dyDescent="0.3">
      <c r="S444" s="32">
        <f t="shared" si="6"/>
        <v>0</v>
      </c>
    </row>
    <row r="445" spans="19:19" x14ac:dyDescent="0.3">
      <c r="S445" s="32">
        <f t="shared" si="6"/>
        <v>0</v>
      </c>
    </row>
    <row r="446" spans="19:19" x14ac:dyDescent="0.3">
      <c r="S446" s="32">
        <f t="shared" si="6"/>
        <v>0</v>
      </c>
    </row>
    <row r="447" spans="19:19" x14ac:dyDescent="0.3">
      <c r="S447" s="32">
        <f t="shared" si="6"/>
        <v>0</v>
      </c>
    </row>
    <row r="448" spans="19:19" x14ac:dyDescent="0.3">
      <c r="S448" s="32">
        <f t="shared" si="6"/>
        <v>0</v>
      </c>
    </row>
    <row r="449" spans="19:19" x14ac:dyDescent="0.3">
      <c r="S449" s="32">
        <f t="shared" si="6"/>
        <v>0</v>
      </c>
    </row>
    <row r="450" spans="19:19" x14ac:dyDescent="0.3">
      <c r="S450" s="32">
        <f t="shared" si="6"/>
        <v>0</v>
      </c>
    </row>
    <row r="451" spans="19:19" x14ac:dyDescent="0.3">
      <c r="S451" s="32">
        <f t="shared" si="6"/>
        <v>0</v>
      </c>
    </row>
    <row r="452" spans="19:19" x14ac:dyDescent="0.3">
      <c r="S452" s="32">
        <f t="shared" si="6"/>
        <v>0</v>
      </c>
    </row>
    <row r="453" spans="19:19" x14ac:dyDescent="0.3">
      <c r="S453" s="32">
        <f t="shared" ref="S453:S516" si="7">SUM(N453:R453)</f>
        <v>0</v>
      </c>
    </row>
    <row r="454" spans="19:19" x14ac:dyDescent="0.3">
      <c r="S454" s="32">
        <f t="shared" si="7"/>
        <v>0</v>
      </c>
    </row>
    <row r="455" spans="19:19" x14ac:dyDescent="0.3">
      <c r="S455" s="32">
        <f t="shared" si="7"/>
        <v>0</v>
      </c>
    </row>
    <row r="456" spans="19:19" x14ac:dyDescent="0.3">
      <c r="S456" s="32">
        <f t="shared" si="7"/>
        <v>0</v>
      </c>
    </row>
    <row r="457" spans="19:19" x14ac:dyDescent="0.3">
      <c r="S457" s="32">
        <f t="shared" si="7"/>
        <v>0</v>
      </c>
    </row>
    <row r="458" spans="19:19" x14ac:dyDescent="0.3">
      <c r="S458" s="32">
        <f t="shared" si="7"/>
        <v>0</v>
      </c>
    </row>
    <row r="459" spans="19:19" x14ac:dyDescent="0.3">
      <c r="S459" s="32">
        <f t="shared" si="7"/>
        <v>0</v>
      </c>
    </row>
    <row r="460" spans="19:19" x14ac:dyDescent="0.3">
      <c r="S460" s="32">
        <f t="shared" si="7"/>
        <v>0</v>
      </c>
    </row>
    <row r="461" spans="19:19" x14ac:dyDescent="0.3">
      <c r="S461" s="32">
        <f t="shared" si="7"/>
        <v>0</v>
      </c>
    </row>
    <row r="462" spans="19:19" x14ac:dyDescent="0.3">
      <c r="S462" s="32">
        <f t="shared" si="7"/>
        <v>0</v>
      </c>
    </row>
    <row r="463" spans="19:19" x14ac:dyDescent="0.3">
      <c r="S463" s="32">
        <f t="shared" si="7"/>
        <v>0</v>
      </c>
    </row>
    <row r="464" spans="19:19" x14ac:dyDescent="0.3">
      <c r="S464" s="32">
        <f t="shared" si="7"/>
        <v>0</v>
      </c>
    </row>
    <row r="465" spans="19:19" x14ac:dyDescent="0.3">
      <c r="S465" s="32">
        <f t="shared" si="7"/>
        <v>0</v>
      </c>
    </row>
    <row r="466" spans="19:19" x14ac:dyDescent="0.3">
      <c r="S466" s="32">
        <f t="shared" si="7"/>
        <v>0</v>
      </c>
    </row>
    <row r="467" spans="19:19" x14ac:dyDescent="0.3">
      <c r="S467" s="32">
        <f t="shared" si="7"/>
        <v>0</v>
      </c>
    </row>
    <row r="468" spans="19:19" x14ac:dyDescent="0.3">
      <c r="S468" s="32">
        <f t="shared" si="7"/>
        <v>0</v>
      </c>
    </row>
    <row r="469" spans="19:19" x14ac:dyDescent="0.3">
      <c r="S469" s="32">
        <f t="shared" si="7"/>
        <v>0</v>
      </c>
    </row>
    <row r="470" spans="19:19" x14ac:dyDescent="0.3">
      <c r="S470" s="32">
        <f t="shared" si="7"/>
        <v>0</v>
      </c>
    </row>
    <row r="471" spans="19:19" x14ac:dyDescent="0.3">
      <c r="S471" s="32">
        <f t="shared" si="7"/>
        <v>0</v>
      </c>
    </row>
    <row r="472" spans="19:19" x14ac:dyDescent="0.3">
      <c r="S472" s="32">
        <f t="shared" si="7"/>
        <v>0</v>
      </c>
    </row>
    <row r="473" spans="19:19" x14ac:dyDescent="0.3">
      <c r="S473" s="32">
        <f t="shared" si="7"/>
        <v>0</v>
      </c>
    </row>
    <row r="474" spans="19:19" x14ac:dyDescent="0.3">
      <c r="S474" s="32">
        <f t="shared" si="7"/>
        <v>0</v>
      </c>
    </row>
    <row r="475" spans="19:19" x14ac:dyDescent="0.3">
      <c r="S475" s="32">
        <f t="shared" si="7"/>
        <v>0</v>
      </c>
    </row>
    <row r="476" spans="19:19" x14ac:dyDescent="0.3">
      <c r="S476" s="32">
        <f t="shared" si="7"/>
        <v>0</v>
      </c>
    </row>
    <row r="477" spans="19:19" x14ac:dyDescent="0.3">
      <c r="S477" s="32">
        <f t="shared" si="7"/>
        <v>0</v>
      </c>
    </row>
    <row r="478" spans="19:19" x14ac:dyDescent="0.3">
      <c r="S478" s="32">
        <f t="shared" si="7"/>
        <v>0</v>
      </c>
    </row>
    <row r="479" spans="19:19" x14ac:dyDescent="0.3">
      <c r="S479" s="32">
        <f t="shared" si="7"/>
        <v>0</v>
      </c>
    </row>
    <row r="480" spans="19:19" x14ac:dyDescent="0.3">
      <c r="S480" s="32">
        <f t="shared" si="7"/>
        <v>0</v>
      </c>
    </row>
    <row r="481" spans="19:19" x14ac:dyDescent="0.3">
      <c r="S481" s="32">
        <f t="shared" si="7"/>
        <v>0</v>
      </c>
    </row>
    <row r="482" spans="19:19" x14ac:dyDescent="0.3">
      <c r="S482" s="32">
        <f t="shared" si="7"/>
        <v>0</v>
      </c>
    </row>
    <row r="483" spans="19:19" x14ac:dyDescent="0.3">
      <c r="S483" s="32">
        <f t="shared" si="7"/>
        <v>0</v>
      </c>
    </row>
    <row r="484" spans="19:19" x14ac:dyDescent="0.3">
      <c r="S484" s="32">
        <f t="shared" si="7"/>
        <v>0</v>
      </c>
    </row>
    <row r="485" spans="19:19" x14ac:dyDescent="0.3">
      <c r="S485" s="32">
        <f t="shared" si="7"/>
        <v>0</v>
      </c>
    </row>
    <row r="486" spans="19:19" x14ac:dyDescent="0.3">
      <c r="S486" s="32">
        <f t="shared" si="7"/>
        <v>0</v>
      </c>
    </row>
    <row r="487" spans="19:19" x14ac:dyDescent="0.3">
      <c r="S487" s="32">
        <f t="shared" si="7"/>
        <v>0</v>
      </c>
    </row>
    <row r="488" spans="19:19" x14ac:dyDescent="0.3">
      <c r="S488" s="32">
        <f t="shared" si="7"/>
        <v>0</v>
      </c>
    </row>
    <row r="489" spans="19:19" x14ac:dyDescent="0.3">
      <c r="S489" s="32">
        <f t="shared" si="7"/>
        <v>0</v>
      </c>
    </row>
    <row r="490" spans="19:19" x14ac:dyDescent="0.3">
      <c r="S490" s="32">
        <f t="shared" si="7"/>
        <v>0</v>
      </c>
    </row>
    <row r="491" spans="19:19" x14ac:dyDescent="0.3">
      <c r="S491" s="32">
        <f t="shared" si="7"/>
        <v>0</v>
      </c>
    </row>
    <row r="492" spans="19:19" x14ac:dyDescent="0.3">
      <c r="S492" s="32">
        <f t="shared" si="7"/>
        <v>0</v>
      </c>
    </row>
    <row r="493" spans="19:19" x14ac:dyDescent="0.3">
      <c r="S493" s="32">
        <f t="shared" si="7"/>
        <v>0</v>
      </c>
    </row>
    <row r="494" spans="19:19" x14ac:dyDescent="0.3">
      <c r="S494" s="32">
        <f t="shared" si="7"/>
        <v>0</v>
      </c>
    </row>
    <row r="495" spans="19:19" x14ac:dyDescent="0.3">
      <c r="S495" s="32">
        <f t="shared" si="7"/>
        <v>0</v>
      </c>
    </row>
    <row r="496" spans="19:19" x14ac:dyDescent="0.3">
      <c r="S496" s="32">
        <f t="shared" si="7"/>
        <v>0</v>
      </c>
    </row>
    <row r="497" spans="19:19" x14ac:dyDescent="0.3">
      <c r="S497" s="32">
        <f t="shared" si="7"/>
        <v>0</v>
      </c>
    </row>
    <row r="498" spans="19:19" x14ac:dyDescent="0.3">
      <c r="S498" s="32">
        <f t="shared" si="7"/>
        <v>0</v>
      </c>
    </row>
    <row r="499" spans="19:19" x14ac:dyDescent="0.3">
      <c r="S499" s="32">
        <f t="shared" si="7"/>
        <v>0</v>
      </c>
    </row>
    <row r="500" spans="19:19" x14ac:dyDescent="0.3">
      <c r="S500" s="32">
        <f t="shared" si="7"/>
        <v>0</v>
      </c>
    </row>
    <row r="501" spans="19:19" x14ac:dyDescent="0.3">
      <c r="S501" s="32">
        <f t="shared" si="7"/>
        <v>0</v>
      </c>
    </row>
    <row r="502" spans="19:19" x14ac:dyDescent="0.3">
      <c r="S502" s="32">
        <f t="shared" si="7"/>
        <v>0</v>
      </c>
    </row>
    <row r="503" spans="19:19" x14ac:dyDescent="0.3">
      <c r="S503" s="32">
        <f t="shared" si="7"/>
        <v>0</v>
      </c>
    </row>
    <row r="504" spans="19:19" x14ac:dyDescent="0.3">
      <c r="S504" s="32">
        <f t="shared" si="7"/>
        <v>0</v>
      </c>
    </row>
    <row r="505" spans="19:19" x14ac:dyDescent="0.3">
      <c r="S505" s="32">
        <f t="shared" si="7"/>
        <v>0</v>
      </c>
    </row>
    <row r="506" spans="19:19" x14ac:dyDescent="0.3">
      <c r="S506" s="32">
        <f t="shared" si="7"/>
        <v>0</v>
      </c>
    </row>
    <row r="507" spans="19:19" x14ac:dyDescent="0.3">
      <c r="S507" s="32">
        <f t="shared" si="7"/>
        <v>0</v>
      </c>
    </row>
    <row r="508" spans="19:19" x14ac:dyDescent="0.3">
      <c r="S508" s="32">
        <f t="shared" si="7"/>
        <v>0</v>
      </c>
    </row>
    <row r="509" spans="19:19" x14ac:dyDescent="0.3">
      <c r="S509" s="32">
        <f t="shared" si="7"/>
        <v>0</v>
      </c>
    </row>
    <row r="510" spans="19:19" x14ac:dyDescent="0.3">
      <c r="S510" s="32">
        <f t="shared" si="7"/>
        <v>0</v>
      </c>
    </row>
    <row r="511" spans="19:19" x14ac:dyDescent="0.3">
      <c r="S511" s="32">
        <f t="shared" si="7"/>
        <v>0</v>
      </c>
    </row>
    <row r="512" spans="19:19" x14ac:dyDescent="0.3">
      <c r="S512" s="32">
        <f t="shared" si="7"/>
        <v>0</v>
      </c>
    </row>
    <row r="513" spans="19:19" x14ac:dyDescent="0.3">
      <c r="S513" s="32">
        <f t="shared" si="7"/>
        <v>0</v>
      </c>
    </row>
    <row r="514" spans="19:19" x14ac:dyDescent="0.3">
      <c r="S514" s="32">
        <f t="shared" si="7"/>
        <v>0</v>
      </c>
    </row>
    <row r="515" spans="19:19" x14ac:dyDescent="0.3">
      <c r="S515" s="32">
        <f t="shared" si="7"/>
        <v>0</v>
      </c>
    </row>
    <row r="516" spans="19:19" x14ac:dyDescent="0.3">
      <c r="S516" s="32">
        <f t="shared" si="7"/>
        <v>0</v>
      </c>
    </row>
    <row r="517" spans="19:19" x14ac:dyDescent="0.3">
      <c r="S517" s="32">
        <f t="shared" ref="S517:S525" si="8">SUM(N517:R517)</f>
        <v>0</v>
      </c>
    </row>
    <row r="518" spans="19:19" x14ac:dyDescent="0.3">
      <c r="S518" s="32">
        <f t="shared" si="8"/>
        <v>0</v>
      </c>
    </row>
    <row r="519" spans="19:19" x14ac:dyDescent="0.3">
      <c r="S519" s="32">
        <f t="shared" si="8"/>
        <v>0</v>
      </c>
    </row>
    <row r="520" spans="19:19" x14ac:dyDescent="0.3">
      <c r="S520" s="32">
        <f t="shared" si="8"/>
        <v>0</v>
      </c>
    </row>
    <row r="521" spans="19:19" x14ac:dyDescent="0.3">
      <c r="S521" s="32">
        <f t="shared" si="8"/>
        <v>0</v>
      </c>
    </row>
    <row r="522" spans="19:19" x14ac:dyDescent="0.3">
      <c r="S522" s="32">
        <f t="shared" si="8"/>
        <v>0</v>
      </c>
    </row>
    <row r="523" spans="19:19" x14ac:dyDescent="0.3">
      <c r="S523" s="32">
        <f t="shared" si="8"/>
        <v>0</v>
      </c>
    </row>
    <row r="524" spans="19:19" x14ac:dyDescent="0.3">
      <c r="S524" s="32">
        <f t="shared" si="8"/>
        <v>0</v>
      </c>
    </row>
    <row r="525" spans="19:19" x14ac:dyDescent="0.3">
      <c r="S525" s="32">
        <f t="shared" si="8"/>
        <v>0</v>
      </c>
    </row>
  </sheetData>
  <autoFilter ref="A1:S1" xr:uid="{00000000-0001-0000-00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FBAE-F025-46F8-AF8F-E3A0DCC575BA}">
  <sheetPr>
    <tabColor rgb="FFFFC000"/>
  </sheetPr>
  <dimension ref="A1:U523"/>
  <sheetViews>
    <sheetView workbookViewId="0">
      <selection activeCell="A16" sqref="A16"/>
    </sheetView>
  </sheetViews>
  <sheetFormatPr defaultColWidth="8.88671875" defaultRowHeight="14.4" x14ac:dyDescent="0.3"/>
  <cols>
    <col min="1" max="1" width="23.6640625" style="2" customWidth="1"/>
    <col min="2" max="2" width="17.33203125" style="2" customWidth="1"/>
    <col min="3" max="3" width="31.6640625" style="2" customWidth="1"/>
    <col min="4" max="4" width="13.44140625" style="2" customWidth="1"/>
    <col min="5" max="5" width="14.33203125" style="2" customWidth="1"/>
    <col min="6" max="6" width="12.109375" style="2" customWidth="1"/>
    <col min="7" max="7" width="11.44140625" style="2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8.6640625" style="2" customWidth="1"/>
    <col min="18" max="18" width="8.88671875" style="2"/>
    <col min="19" max="19" width="8.88671875" style="34"/>
    <col min="20" max="16384" width="8.88671875" style="2"/>
  </cols>
  <sheetData>
    <row r="1" spans="1:21" ht="28.8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7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35" t="s">
        <v>18</v>
      </c>
      <c r="T1" s="7"/>
      <c r="U1" s="1"/>
    </row>
    <row r="2" spans="1:21" x14ac:dyDescent="0.3">
      <c r="A2" s="2" t="s">
        <v>138</v>
      </c>
      <c r="B2" s="2" t="s">
        <v>45</v>
      </c>
      <c r="C2" s="2" t="s">
        <v>139</v>
      </c>
      <c r="E2" s="57">
        <v>45701</v>
      </c>
      <c r="F2" s="57">
        <v>45701</v>
      </c>
      <c r="G2" s="57">
        <v>45701</v>
      </c>
      <c r="H2" s="2">
        <v>1</v>
      </c>
      <c r="I2" s="2" t="s">
        <v>54</v>
      </c>
      <c r="J2" s="2" t="s">
        <v>55</v>
      </c>
      <c r="O2" s="2">
        <v>57.5</v>
      </c>
      <c r="R2" s="2">
        <v>100</v>
      </c>
      <c r="S2" s="34">
        <f>SUM(N2:R2)</f>
        <v>157.5</v>
      </c>
    </row>
    <row r="3" spans="1:21" ht="28.8" x14ac:dyDescent="0.3">
      <c r="A3" s="2" t="s">
        <v>140</v>
      </c>
      <c r="B3" s="2" t="s">
        <v>45</v>
      </c>
      <c r="C3" s="1" t="s">
        <v>141</v>
      </c>
      <c r="E3" s="57" t="s">
        <v>142</v>
      </c>
      <c r="F3" s="57">
        <v>45748</v>
      </c>
      <c r="G3" s="57">
        <v>45749</v>
      </c>
      <c r="H3" s="2">
        <v>2</v>
      </c>
      <c r="I3" s="2" t="s">
        <v>143</v>
      </c>
      <c r="J3" s="2" t="s">
        <v>55</v>
      </c>
      <c r="O3" s="2">
        <v>115</v>
      </c>
      <c r="P3" s="2">
        <v>550</v>
      </c>
      <c r="S3" s="34">
        <f t="shared" ref="S3:S66" si="0">SUM(N3:R3)</f>
        <v>665</v>
      </c>
    </row>
    <row r="4" spans="1:21" x14ac:dyDescent="0.3">
      <c r="A4" s="2" t="s">
        <v>167</v>
      </c>
      <c r="B4" s="2" t="s">
        <v>45</v>
      </c>
      <c r="C4" s="59" t="s">
        <v>171</v>
      </c>
      <c r="E4" s="2" t="s">
        <v>172</v>
      </c>
      <c r="F4" s="57">
        <v>45796</v>
      </c>
      <c r="G4" s="57">
        <v>45798</v>
      </c>
      <c r="H4" s="2">
        <v>3</v>
      </c>
      <c r="I4" s="2" t="s">
        <v>173</v>
      </c>
      <c r="J4" s="2" t="s">
        <v>65</v>
      </c>
      <c r="O4" s="2">
        <v>172.5</v>
      </c>
      <c r="S4" s="34">
        <f t="shared" si="0"/>
        <v>172.5</v>
      </c>
    </row>
    <row r="5" spans="1:21" x14ac:dyDescent="0.3">
      <c r="A5" s="2" t="s">
        <v>140</v>
      </c>
      <c r="B5" s="2" t="s">
        <v>45</v>
      </c>
      <c r="C5" s="59" t="s">
        <v>171</v>
      </c>
      <c r="E5" s="2" t="s">
        <v>172</v>
      </c>
      <c r="F5" s="57">
        <v>45796</v>
      </c>
      <c r="G5" s="57">
        <v>45798</v>
      </c>
      <c r="H5" s="2">
        <v>3</v>
      </c>
      <c r="I5" s="2" t="s">
        <v>173</v>
      </c>
      <c r="J5" s="2" t="s">
        <v>65</v>
      </c>
      <c r="O5" s="2">
        <v>172.5</v>
      </c>
      <c r="S5" s="34">
        <f t="shared" si="0"/>
        <v>172.5</v>
      </c>
    </row>
    <row r="6" spans="1:21" x14ac:dyDescent="0.3">
      <c r="A6" s="2" t="s">
        <v>168</v>
      </c>
      <c r="B6" s="2" t="s">
        <v>46</v>
      </c>
      <c r="C6" s="59" t="s">
        <v>171</v>
      </c>
      <c r="E6" s="2" t="s">
        <v>172</v>
      </c>
      <c r="F6" s="57">
        <v>45796</v>
      </c>
      <c r="G6" s="57">
        <v>45798</v>
      </c>
      <c r="H6" s="2">
        <v>3</v>
      </c>
      <c r="I6" s="2" t="s">
        <v>173</v>
      </c>
      <c r="J6" s="2" t="s">
        <v>65</v>
      </c>
      <c r="O6" s="2">
        <v>172.5</v>
      </c>
      <c r="S6" s="34">
        <f t="shared" si="0"/>
        <v>172.5</v>
      </c>
    </row>
    <row r="7" spans="1:21" x14ac:dyDescent="0.3">
      <c r="A7" s="2" t="s">
        <v>169</v>
      </c>
      <c r="B7" s="2" t="s">
        <v>46</v>
      </c>
      <c r="C7" s="59" t="s">
        <v>171</v>
      </c>
      <c r="E7" s="2" t="s">
        <v>172</v>
      </c>
      <c r="F7" s="57">
        <v>45796</v>
      </c>
      <c r="G7" s="57">
        <v>45798</v>
      </c>
      <c r="H7" s="2">
        <v>3</v>
      </c>
      <c r="I7" s="2" t="s">
        <v>173</v>
      </c>
      <c r="J7" s="2" t="s">
        <v>65</v>
      </c>
      <c r="O7" s="2">
        <v>172.5</v>
      </c>
      <c r="S7" s="34">
        <f t="shared" si="0"/>
        <v>172.5</v>
      </c>
    </row>
    <row r="8" spans="1:21" x14ac:dyDescent="0.3">
      <c r="A8" s="2" t="s">
        <v>170</v>
      </c>
      <c r="B8" s="2" t="s">
        <v>45</v>
      </c>
      <c r="C8" s="59" t="s">
        <v>171</v>
      </c>
      <c r="E8" s="2" t="s">
        <v>172</v>
      </c>
      <c r="F8" s="57">
        <v>45796</v>
      </c>
      <c r="G8" s="57">
        <v>45798</v>
      </c>
      <c r="H8" s="2">
        <v>3</v>
      </c>
      <c r="I8" s="2" t="s">
        <v>173</v>
      </c>
      <c r="J8" s="2" t="s">
        <v>65</v>
      </c>
      <c r="O8" s="2">
        <v>172.5</v>
      </c>
      <c r="S8" s="34">
        <f t="shared" si="0"/>
        <v>172.5</v>
      </c>
    </row>
    <row r="9" spans="1:21" ht="28.8" x14ac:dyDescent="0.3">
      <c r="A9" s="2" t="s">
        <v>140</v>
      </c>
      <c r="B9" s="2" t="s">
        <v>45</v>
      </c>
      <c r="C9" s="59" t="s">
        <v>195</v>
      </c>
      <c r="E9" s="57">
        <v>45813</v>
      </c>
      <c r="F9" s="57">
        <v>45812</v>
      </c>
      <c r="G9" s="57">
        <v>45809</v>
      </c>
      <c r="H9" s="2">
        <v>2</v>
      </c>
      <c r="S9" s="34">
        <f t="shared" si="0"/>
        <v>0</v>
      </c>
    </row>
    <row r="10" spans="1:21" ht="28.8" x14ac:dyDescent="0.3">
      <c r="A10" s="2" t="s">
        <v>170</v>
      </c>
      <c r="B10" s="2" t="s">
        <v>45</v>
      </c>
      <c r="C10" s="1" t="s">
        <v>316</v>
      </c>
      <c r="E10" s="2" t="s">
        <v>317</v>
      </c>
      <c r="F10" s="57" t="s">
        <v>320</v>
      </c>
      <c r="G10" s="57" t="s">
        <v>319</v>
      </c>
      <c r="H10" s="2">
        <v>2</v>
      </c>
      <c r="I10" s="2" t="s">
        <v>143</v>
      </c>
      <c r="J10" s="2" t="s">
        <v>318</v>
      </c>
      <c r="O10" s="2">
        <v>115</v>
      </c>
      <c r="S10" s="34">
        <f t="shared" si="0"/>
        <v>115</v>
      </c>
    </row>
    <row r="11" spans="1:21" ht="28.8" x14ac:dyDescent="0.3">
      <c r="A11" s="2" t="s">
        <v>140</v>
      </c>
      <c r="B11" s="2" t="s">
        <v>45</v>
      </c>
      <c r="C11" s="1" t="s">
        <v>316</v>
      </c>
      <c r="E11" s="2" t="s">
        <v>317</v>
      </c>
      <c r="F11" s="57" t="s">
        <v>320</v>
      </c>
      <c r="G11" s="57" t="s">
        <v>319</v>
      </c>
      <c r="H11" s="2">
        <v>2</v>
      </c>
      <c r="I11" s="2" t="s">
        <v>143</v>
      </c>
      <c r="J11" s="2" t="s">
        <v>318</v>
      </c>
      <c r="O11" s="2">
        <v>115</v>
      </c>
      <c r="S11" s="34">
        <f t="shared" si="0"/>
        <v>115</v>
      </c>
    </row>
    <row r="12" spans="1:21" x14ac:dyDescent="0.3">
      <c r="A12" s="2" t="s">
        <v>170</v>
      </c>
      <c r="B12" s="2" t="s">
        <v>45</v>
      </c>
      <c r="C12" s="121" t="s">
        <v>322</v>
      </c>
      <c r="E12" s="2" t="s">
        <v>323</v>
      </c>
      <c r="F12" s="2" t="s">
        <v>323</v>
      </c>
      <c r="G12" s="2" t="s">
        <v>323</v>
      </c>
      <c r="H12" s="2">
        <v>1</v>
      </c>
      <c r="I12" s="2" t="s">
        <v>54</v>
      </c>
      <c r="J12" s="2" t="s">
        <v>324</v>
      </c>
      <c r="O12" s="2">
        <v>57.5</v>
      </c>
      <c r="R12" s="2">
        <v>100</v>
      </c>
      <c r="S12" s="34">
        <f t="shared" si="0"/>
        <v>157.5</v>
      </c>
    </row>
    <row r="13" spans="1:21" x14ac:dyDescent="0.3">
      <c r="A13" s="2" t="s">
        <v>321</v>
      </c>
      <c r="B13" s="2" t="s">
        <v>45</v>
      </c>
      <c r="C13" s="121" t="s">
        <v>322</v>
      </c>
      <c r="E13" s="2" t="s">
        <v>323</v>
      </c>
      <c r="F13" s="2" t="s">
        <v>323</v>
      </c>
      <c r="G13" s="2" t="s">
        <v>323</v>
      </c>
      <c r="H13" s="2">
        <v>1</v>
      </c>
      <c r="I13" s="2" t="s">
        <v>54</v>
      </c>
      <c r="J13" s="2" t="s">
        <v>324</v>
      </c>
      <c r="O13" s="2">
        <v>57.5</v>
      </c>
      <c r="R13" s="2">
        <v>100</v>
      </c>
      <c r="S13" s="34">
        <f t="shared" si="0"/>
        <v>157.5</v>
      </c>
    </row>
    <row r="14" spans="1:21" x14ac:dyDescent="0.3">
      <c r="A14" s="2" t="s">
        <v>321</v>
      </c>
      <c r="B14" s="2" t="s">
        <v>45</v>
      </c>
      <c r="C14" s="2" t="s">
        <v>326</v>
      </c>
      <c r="E14" s="2" t="s">
        <v>327</v>
      </c>
      <c r="F14" s="2" t="s">
        <v>328</v>
      </c>
      <c r="G14" s="2" t="s">
        <v>328</v>
      </c>
      <c r="H14" s="2">
        <v>1</v>
      </c>
      <c r="I14" s="2" t="s">
        <v>54</v>
      </c>
      <c r="O14" s="2">
        <v>57.5</v>
      </c>
      <c r="P14" s="2">
        <v>650</v>
      </c>
      <c r="S14" s="34">
        <f t="shared" si="0"/>
        <v>707.5</v>
      </c>
    </row>
    <row r="15" spans="1:21" x14ac:dyDescent="0.3">
      <c r="A15" s="2" t="s">
        <v>325</v>
      </c>
      <c r="B15" s="2" t="s">
        <v>46</v>
      </c>
      <c r="C15" s="2" t="s">
        <v>326</v>
      </c>
      <c r="E15" s="2" t="s">
        <v>327</v>
      </c>
      <c r="F15" s="2" t="s">
        <v>328</v>
      </c>
      <c r="G15" s="2" t="s">
        <v>328</v>
      </c>
      <c r="H15" s="2">
        <v>1</v>
      </c>
      <c r="I15" s="2" t="s">
        <v>54</v>
      </c>
      <c r="O15" s="2">
        <v>57.5</v>
      </c>
      <c r="P15" s="2">
        <v>650</v>
      </c>
      <c r="S15" s="34">
        <f t="shared" si="0"/>
        <v>707.5</v>
      </c>
    </row>
    <row r="16" spans="1:21" x14ac:dyDescent="0.3">
      <c r="S16" s="34">
        <f t="shared" si="0"/>
        <v>0</v>
      </c>
    </row>
    <row r="17" spans="19:19" x14ac:dyDescent="0.3">
      <c r="S17" s="34">
        <f t="shared" si="0"/>
        <v>0</v>
      </c>
    </row>
    <row r="18" spans="19:19" x14ac:dyDescent="0.3">
      <c r="S18" s="34">
        <f t="shared" si="0"/>
        <v>0</v>
      </c>
    </row>
    <row r="19" spans="19:19" x14ac:dyDescent="0.3">
      <c r="S19" s="34">
        <f t="shared" si="0"/>
        <v>0</v>
      </c>
    </row>
    <row r="20" spans="19:19" x14ac:dyDescent="0.3">
      <c r="S20" s="34">
        <f t="shared" si="0"/>
        <v>0</v>
      </c>
    </row>
    <row r="21" spans="19:19" x14ac:dyDescent="0.3">
      <c r="S21" s="34">
        <f t="shared" si="0"/>
        <v>0</v>
      </c>
    </row>
    <row r="22" spans="19:19" x14ac:dyDescent="0.3">
      <c r="S22" s="34">
        <f t="shared" si="0"/>
        <v>0</v>
      </c>
    </row>
    <row r="23" spans="19:19" x14ac:dyDescent="0.3">
      <c r="S23" s="34">
        <f t="shared" si="0"/>
        <v>0</v>
      </c>
    </row>
    <row r="24" spans="19:19" x14ac:dyDescent="0.3">
      <c r="S24" s="34">
        <f t="shared" si="0"/>
        <v>0</v>
      </c>
    </row>
    <row r="25" spans="19:19" x14ac:dyDescent="0.3">
      <c r="S25" s="34">
        <f t="shared" si="0"/>
        <v>0</v>
      </c>
    </row>
    <row r="26" spans="19:19" x14ac:dyDescent="0.3">
      <c r="S26" s="34">
        <f t="shared" si="0"/>
        <v>0</v>
      </c>
    </row>
    <row r="27" spans="19:19" x14ac:dyDescent="0.3">
      <c r="S27" s="34">
        <f t="shared" si="0"/>
        <v>0</v>
      </c>
    </row>
    <row r="28" spans="19:19" x14ac:dyDescent="0.3">
      <c r="S28" s="34">
        <f t="shared" si="0"/>
        <v>0</v>
      </c>
    </row>
    <row r="29" spans="19:19" x14ac:dyDescent="0.3">
      <c r="S29" s="34">
        <f t="shared" si="0"/>
        <v>0</v>
      </c>
    </row>
    <row r="30" spans="19:19" x14ac:dyDescent="0.3">
      <c r="S30" s="34">
        <f t="shared" si="0"/>
        <v>0</v>
      </c>
    </row>
    <row r="31" spans="19:19" x14ac:dyDescent="0.3">
      <c r="S31" s="34">
        <f t="shared" si="0"/>
        <v>0</v>
      </c>
    </row>
    <row r="32" spans="19:19" x14ac:dyDescent="0.3">
      <c r="S32" s="34">
        <f t="shared" si="0"/>
        <v>0</v>
      </c>
    </row>
    <row r="33" spans="19:19" x14ac:dyDescent="0.3">
      <c r="S33" s="34">
        <f t="shared" si="0"/>
        <v>0</v>
      </c>
    </row>
    <row r="34" spans="19:19" x14ac:dyDescent="0.3">
      <c r="S34" s="34">
        <f t="shared" si="0"/>
        <v>0</v>
      </c>
    </row>
    <row r="35" spans="19:19" x14ac:dyDescent="0.3">
      <c r="S35" s="34">
        <f t="shared" si="0"/>
        <v>0</v>
      </c>
    </row>
    <row r="36" spans="19:19" x14ac:dyDescent="0.3">
      <c r="S36" s="34">
        <f t="shared" si="0"/>
        <v>0</v>
      </c>
    </row>
    <row r="37" spans="19:19" x14ac:dyDescent="0.3">
      <c r="S37" s="34">
        <f t="shared" si="0"/>
        <v>0</v>
      </c>
    </row>
    <row r="38" spans="19:19" x14ac:dyDescent="0.3">
      <c r="S38" s="34">
        <f t="shared" si="0"/>
        <v>0</v>
      </c>
    </row>
    <row r="39" spans="19:19" x14ac:dyDescent="0.3">
      <c r="S39" s="34">
        <f t="shared" si="0"/>
        <v>0</v>
      </c>
    </row>
    <row r="40" spans="19:19" x14ac:dyDescent="0.3">
      <c r="S40" s="34">
        <f t="shared" si="0"/>
        <v>0</v>
      </c>
    </row>
    <row r="41" spans="19:19" x14ac:dyDescent="0.3">
      <c r="S41" s="34">
        <f t="shared" si="0"/>
        <v>0</v>
      </c>
    </row>
    <row r="42" spans="19:19" x14ac:dyDescent="0.3">
      <c r="S42" s="34">
        <f t="shared" si="0"/>
        <v>0</v>
      </c>
    </row>
    <row r="43" spans="19:19" x14ac:dyDescent="0.3">
      <c r="S43" s="34">
        <f t="shared" si="0"/>
        <v>0</v>
      </c>
    </row>
    <row r="44" spans="19:19" x14ac:dyDescent="0.3">
      <c r="S44" s="34">
        <f t="shared" si="0"/>
        <v>0</v>
      </c>
    </row>
    <row r="45" spans="19:19" x14ac:dyDescent="0.3">
      <c r="S45" s="34">
        <f t="shared" si="0"/>
        <v>0</v>
      </c>
    </row>
    <row r="46" spans="19:19" x14ac:dyDescent="0.3">
      <c r="S46" s="34">
        <f t="shared" si="0"/>
        <v>0</v>
      </c>
    </row>
    <row r="47" spans="19:19" x14ac:dyDescent="0.3">
      <c r="S47" s="34">
        <f t="shared" si="0"/>
        <v>0</v>
      </c>
    </row>
    <row r="48" spans="19:19" x14ac:dyDescent="0.3">
      <c r="S48" s="34">
        <f t="shared" si="0"/>
        <v>0</v>
      </c>
    </row>
    <row r="49" spans="19:19" x14ac:dyDescent="0.3">
      <c r="S49" s="34">
        <f t="shared" si="0"/>
        <v>0</v>
      </c>
    </row>
    <row r="50" spans="19:19" x14ac:dyDescent="0.3">
      <c r="S50" s="34">
        <f t="shared" si="0"/>
        <v>0</v>
      </c>
    </row>
    <row r="51" spans="19:19" x14ac:dyDescent="0.3">
      <c r="S51" s="34">
        <f t="shared" si="0"/>
        <v>0</v>
      </c>
    </row>
    <row r="52" spans="19:19" x14ac:dyDescent="0.3">
      <c r="S52" s="34">
        <f t="shared" si="0"/>
        <v>0</v>
      </c>
    </row>
    <row r="53" spans="19:19" x14ac:dyDescent="0.3">
      <c r="S53" s="34">
        <f t="shared" si="0"/>
        <v>0</v>
      </c>
    </row>
    <row r="54" spans="19:19" x14ac:dyDescent="0.3">
      <c r="S54" s="34">
        <f t="shared" si="0"/>
        <v>0</v>
      </c>
    </row>
    <row r="55" spans="19:19" x14ac:dyDescent="0.3">
      <c r="S55" s="34">
        <f t="shared" si="0"/>
        <v>0</v>
      </c>
    </row>
    <row r="56" spans="19:19" x14ac:dyDescent="0.3">
      <c r="S56" s="34">
        <f t="shared" si="0"/>
        <v>0</v>
      </c>
    </row>
    <row r="57" spans="19:19" x14ac:dyDescent="0.3">
      <c r="S57" s="34">
        <f t="shared" si="0"/>
        <v>0</v>
      </c>
    </row>
    <row r="58" spans="19:19" x14ac:dyDescent="0.3">
      <c r="S58" s="34">
        <f t="shared" si="0"/>
        <v>0</v>
      </c>
    </row>
    <row r="59" spans="19:19" x14ac:dyDescent="0.3">
      <c r="S59" s="34">
        <f t="shared" si="0"/>
        <v>0</v>
      </c>
    </row>
    <row r="60" spans="19:19" x14ac:dyDescent="0.3">
      <c r="S60" s="34">
        <f t="shared" si="0"/>
        <v>0</v>
      </c>
    </row>
    <row r="61" spans="19:19" x14ac:dyDescent="0.3">
      <c r="S61" s="34">
        <f t="shared" si="0"/>
        <v>0</v>
      </c>
    </row>
    <row r="62" spans="19:19" x14ac:dyDescent="0.3">
      <c r="S62" s="34">
        <f t="shared" si="0"/>
        <v>0</v>
      </c>
    </row>
    <row r="63" spans="19:19" x14ac:dyDescent="0.3">
      <c r="S63" s="34">
        <f t="shared" si="0"/>
        <v>0</v>
      </c>
    </row>
    <row r="64" spans="19:19" x14ac:dyDescent="0.3">
      <c r="S64" s="34">
        <f t="shared" si="0"/>
        <v>0</v>
      </c>
    </row>
    <row r="65" spans="19:19" x14ac:dyDescent="0.3">
      <c r="S65" s="34">
        <f t="shared" si="0"/>
        <v>0</v>
      </c>
    </row>
    <row r="66" spans="19:19" x14ac:dyDescent="0.3">
      <c r="S66" s="34">
        <f t="shared" si="0"/>
        <v>0</v>
      </c>
    </row>
    <row r="67" spans="19:19" x14ac:dyDescent="0.3">
      <c r="S67" s="34">
        <f t="shared" ref="S67:S130" si="1">SUM(N67:R67)</f>
        <v>0</v>
      </c>
    </row>
    <row r="68" spans="19:19" x14ac:dyDescent="0.3">
      <c r="S68" s="34">
        <f t="shared" si="1"/>
        <v>0</v>
      </c>
    </row>
    <row r="69" spans="19:19" x14ac:dyDescent="0.3">
      <c r="S69" s="34">
        <f t="shared" si="1"/>
        <v>0</v>
      </c>
    </row>
    <row r="70" spans="19:19" x14ac:dyDescent="0.3">
      <c r="S70" s="34">
        <f t="shared" si="1"/>
        <v>0</v>
      </c>
    </row>
    <row r="71" spans="19:19" x14ac:dyDescent="0.3">
      <c r="S71" s="34">
        <f t="shared" si="1"/>
        <v>0</v>
      </c>
    </row>
    <row r="72" spans="19:19" x14ac:dyDescent="0.3">
      <c r="S72" s="34">
        <f t="shared" si="1"/>
        <v>0</v>
      </c>
    </row>
    <row r="73" spans="19:19" x14ac:dyDescent="0.3">
      <c r="S73" s="34">
        <f t="shared" si="1"/>
        <v>0</v>
      </c>
    </row>
    <row r="74" spans="19:19" x14ac:dyDescent="0.3">
      <c r="S74" s="34">
        <f t="shared" si="1"/>
        <v>0</v>
      </c>
    </row>
    <row r="75" spans="19:19" x14ac:dyDescent="0.3">
      <c r="S75" s="34">
        <f t="shared" si="1"/>
        <v>0</v>
      </c>
    </row>
    <row r="76" spans="19:19" x14ac:dyDescent="0.3">
      <c r="S76" s="34">
        <f t="shared" si="1"/>
        <v>0</v>
      </c>
    </row>
    <row r="77" spans="19:19" x14ac:dyDescent="0.3">
      <c r="S77" s="34">
        <f t="shared" si="1"/>
        <v>0</v>
      </c>
    </row>
    <row r="78" spans="19:19" x14ac:dyDescent="0.3">
      <c r="S78" s="34">
        <f t="shared" si="1"/>
        <v>0</v>
      </c>
    </row>
    <row r="79" spans="19:19" x14ac:dyDescent="0.3">
      <c r="S79" s="34">
        <f t="shared" si="1"/>
        <v>0</v>
      </c>
    </row>
    <row r="80" spans="19:19" x14ac:dyDescent="0.3">
      <c r="S80" s="34">
        <f t="shared" si="1"/>
        <v>0</v>
      </c>
    </row>
    <row r="81" spans="19:19" x14ac:dyDescent="0.3">
      <c r="S81" s="34">
        <f t="shared" si="1"/>
        <v>0</v>
      </c>
    </row>
    <row r="82" spans="19:19" x14ac:dyDescent="0.3">
      <c r="S82" s="34">
        <f t="shared" si="1"/>
        <v>0</v>
      </c>
    </row>
    <row r="83" spans="19:19" x14ac:dyDescent="0.3">
      <c r="S83" s="34">
        <f t="shared" si="1"/>
        <v>0</v>
      </c>
    </row>
    <row r="84" spans="19:19" x14ac:dyDescent="0.3">
      <c r="S84" s="34">
        <f t="shared" si="1"/>
        <v>0</v>
      </c>
    </row>
    <row r="85" spans="19:19" x14ac:dyDescent="0.3">
      <c r="S85" s="34">
        <f t="shared" si="1"/>
        <v>0</v>
      </c>
    </row>
    <row r="86" spans="19:19" x14ac:dyDescent="0.3">
      <c r="S86" s="34">
        <f t="shared" si="1"/>
        <v>0</v>
      </c>
    </row>
    <row r="87" spans="19:19" x14ac:dyDescent="0.3">
      <c r="S87" s="34">
        <f t="shared" si="1"/>
        <v>0</v>
      </c>
    </row>
    <row r="88" spans="19:19" x14ac:dyDescent="0.3">
      <c r="S88" s="34">
        <f t="shared" si="1"/>
        <v>0</v>
      </c>
    </row>
    <row r="89" spans="19:19" x14ac:dyDescent="0.3">
      <c r="S89" s="34">
        <f t="shared" si="1"/>
        <v>0</v>
      </c>
    </row>
    <row r="90" spans="19:19" x14ac:dyDescent="0.3">
      <c r="S90" s="34">
        <f t="shared" si="1"/>
        <v>0</v>
      </c>
    </row>
    <row r="91" spans="19:19" x14ac:dyDescent="0.3">
      <c r="S91" s="34">
        <f t="shared" si="1"/>
        <v>0</v>
      </c>
    </row>
    <row r="92" spans="19:19" x14ac:dyDescent="0.3">
      <c r="S92" s="34">
        <f t="shared" si="1"/>
        <v>0</v>
      </c>
    </row>
    <row r="93" spans="19:19" x14ac:dyDescent="0.3">
      <c r="S93" s="34">
        <f t="shared" si="1"/>
        <v>0</v>
      </c>
    </row>
    <row r="94" spans="19:19" x14ac:dyDescent="0.3">
      <c r="S94" s="34">
        <f t="shared" si="1"/>
        <v>0</v>
      </c>
    </row>
    <row r="95" spans="19:19" x14ac:dyDescent="0.3">
      <c r="S95" s="34">
        <f t="shared" si="1"/>
        <v>0</v>
      </c>
    </row>
    <row r="96" spans="19:19" x14ac:dyDescent="0.3">
      <c r="S96" s="34">
        <f t="shared" si="1"/>
        <v>0</v>
      </c>
    </row>
    <row r="97" spans="19:19" x14ac:dyDescent="0.3">
      <c r="S97" s="34">
        <f t="shared" si="1"/>
        <v>0</v>
      </c>
    </row>
    <row r="98" spans="19:19" x14ac:dyDescent="0.3">
      <c r="S98" s="34">
        <f t="shared" si="1"/>
        <v>0</v>
      </c>
    </row>
    <row r="99" spans="19:19" x14ac:dyDescent="0.3">
      <c r="S99" s="34">
        <f t="shared" si="1"/>
        <v>0</v>
      </c>
    </row>
    <row r="100" spans="19:19" x14ac:dyDescent="0.3">
      <c r="S100" s="34">
        <f t="shared" si="1"/>
        <v>0</v>
      </c>
    </row>
    <row r="101" spans="19:19" x14ac:dyDescent="0.3">
      <c r="S101" s="34">
        <f t="shared" si="1"/>
        <v>0</v>
      </c>
    </row>
    <row r="102" spans="19:19" x14ac:dyDescent="0.3">
      <c r="S102" s="34">
        <f t="shared" si="1"/>
        <v>0</v>
      </c>
    </row>
    <row r="103" spans="19:19" x14ac:dyDescent="0.3">
      <c r="S103" s="34">
        <f t="shared" si="1"/>
        <v>0</v>
      </c>
    </row>
    <row r="104" spans="19:19" x14ac:dyDescent="0.3">
      <c r="S104" s="34">
        <f t="shared" si="1"/>
        <v>0</v>
      </c>
    </row>
    <row r="105" spans="19:19" x14ac:dyDescent="0.3">
      <c r="S105" s="34">
        <f t="shared" si="1"/>
        <v>0</v>
      </c>
    </row>
    <row r="106" spans="19:19" x14ac:dyDescent="0.3">
      <c r="S106" s="34">
        <f t="shared" si="1"/>
        <v>0</v>
      </c>
    </row>
    <row r="107" spans="19:19" x14ac:dyDescent="0.3">
      <c r="S107" s="34">
        <f t="shared" si="1"/>
        <v>0</v>
      </c>
    </row>
    <row r="108" spans="19:19" x14ac:dyDescent="0.3">
      <c r="S108" s="34">
        <f t="shared" si="1"/>
        <v>0</v>
      </c>
    </row>
    <row r="109" spans="19:19" x14ac:dyDescent="0.3">
      <c r="S109" s="34">
        <f t="shared" si="1"/>
        <v>0</v>
      </c>
    </row>
    <row r="110" spans="19:19" x14ac:dyDescent="0.3">
      <c r="S110" s="34">
        <f t="shared" si="1"/>
        <v>0</v>
      </c>
    </row>
    <row r="111" spans="19:19" x14ac:dyDescent="0.3">
      <c r="S111" s="34">
        <f t="shared" si="1"/>
        <v>0</v>
      </c>
    </row>
    <row r="112" spans="19:19" x14ac:dyDescent="0.3">
      <c r="S112" s="34">
        <f t="shared" si="1"/>
        <v>0</v>
      </c>
    </row>
    <row r="113" spans="19:19" x14ac:dyDescent="0.3">
      <c r="S113" s="34">
        <f t="shared" si="1"/>
        <v>0</v>
      </c>
    </row>
    <row r="114" spans="19:19" x14ac:dyDescent="0.3">
      <c r="S114" s="34">
        <f t="shared" si="1"/>
        <v>0</v>
      </c>
    </row>
    <row r="115" spans="19:19" x14ac:dyDescent="0.3">
      <c r="S115" s="34">
        <f t="shared" si="1"/>
        <v>0</v>
      </c>
    </row>
    <row r="116" spans="19:19" x14ac:dyDescent="0.3">
      <c r="S116" s="34">
        <f t="shared" si="1"/>
        <v>0</v>
      </c>
    </row>
    <row r="117" spans="19:19" x14ac:dyDescent="0.3">
      <c r="S117" s="34">
        <f t="shared" si="1"/>
        <v>0</v>
      </c>
    </row>
    <row r="118" spans="19:19" x14ac:dyDescent="0.3">
      <c r="S118" s="34">
        <f t="shared" si="1"/>
        <v>0</v>
      </c>
    </row>
    <row r="119" spans="19:19" x14ac:dyDescent="0.3">
      <c r="S119" s="34">
        <f t="shared" si="1"/>
        <v>0</v>
      </c>
    </row>
    <row r="120" spans="19:19" x14ac:dyDescent="0.3">
      <c r="S120" s="34">
        <f t="shared" si="1"/>
        <v>0</v>
      </c>
    </row>
    <row r="121" spans="19:19" x14ac:dyDescent="0.3">
      <c r="S121" s="34">
        <f t="shared" si="1"/>
        <v>0</v>
      </c>
    </row>
    <row r="122" spans="19:19" x14ac:dyDescent="0.3">
      <c r="S122" s="34">
        <f t="shared" si="1"/>
        <v>0</v>
      </c>
    </row>
    <row r="123" spans="19:19" x14ac:dyDescent="0.3">
      <c r="S123" s="34">
        <f t="shared" si="1"/>
        <v>0</v>
      </c>
    </row>
    <row r="124" spans="19:19" x14ac:dyDescent="0.3">
      <c r="S124" s="34">
        <f t="shared" si="1"/>
        <v>0</v>
      </c>
    </row>
    <row r="125" spans="19:19" x14ac:dyDescent="0.3">
      <c r="S125" s="34">
        <f t="shared" si="1"/>
        <v>0</v>
      </c>
    </row>
    <row r="126" spans="19:19" x14ac:dyDescent="0.3">
      <c r="S126" s="34">
        <f t="shared" si="1"/>
        <v>0</v>
      </c>
    </row>
    <row r="127" spans="19:19" x14ac:dyDescent="0.3">
      <c r="S127" s="34">
        <f t="shared" si="1"/>
        <v>0</v>
      </c>
    </row>
    <row r="128" spans="19:19" x14ac:dyDescent="0.3">
      <c r="S128" s="34">
        <f t="shared" si="1"/>
        <v>0</v>
      </c>
    </row>
    <row r="129" spans="19:19" x14ac:dyDescent="0.3">
      <c r="S129" s="34">
        <f t="shared" si="1"/>
        <v>0</v>
      </c>
    </row>
    <row r="130" spans="19:19" x14ac:dyDescent="0.3">
      <c r="S130" s="34">
        <f t="shared" si="1"/>
        <v>0</v>
      </c>
    </row>
    <row r="131" spans="19:19" x14ac:dyDescent="0.3">
      <c r="S131" s="34">
        <f t="shared" ref="S131:S194" si="2">SUM(N131:R131)</f>
        <v>0</v>
      </c>
    </row>
    <row r="132" spans="19:19" x14ac:dyDescent="0.3">
      <c r="S132" s="34">
        <f t="shared" si="2"/>
        <v>0</v>
      </c>
    </row>
    <row r="133" spans="19:19" x14ac:dyDescent="0.3">
      <c r="S133" s="34">
        <f t="shared" si="2"/>
        <v>0</v>
      </c>
    </row>
    <row r="134" spans="19:19" x14ac:dyDescent="0.3">
      <c r="S134" s="34">
        <f t="shared" si="2"/>
        <v>0</v>
      </c>
    </row>
    <row r="135" spans="19:19" x14ac:dyDescent="0.3">
      <c r="S135" s="34">
        <f t="shared" si="2"/>
        <v>0</v>
      </c>
    </row>
    <row r="136" spans="19:19" x14ac:dyDescent="0.3">
      <c r="S136" s="34">
        <f t="shared" si="2"/>
        <v>0</v>
      </c>
    </row>
    <row r="137" spans="19:19" x14ac:dyDescent="0.3">
      <c r="S137" s="34">
        <f t="shared" si="2"/>
        <v>0</v>
      </c>
    </row>
    <row r="138" spans="19:19" x14ac:dyDescent="0.3">
      <c r="S138" s="34">
        <f t="shared" si="2"/>
        <v>0</v>
      </c>
    </row>
    <row r="139" spans="19:19" x14ac:dyDescent="0.3">
      <c r="S139" s="34">
        <f t="shared" si="2"/>
        <v>0</v>
      </c>
    </row>
    <row r="140" spans="19:19" x14ac:dyDescent="0.3">
      <c r="S140" s="34">
        <f t="shared" si="2"/>
        <v>0</v>
      </c>
    </row>
    <row r="141" spans="19:19" x14ac:dyDescent="0.3">
      <c r="S141" s="34">
        <f t="shared" si="2"/>
        <v>0</v>
      </c>
    </row>
    <row r="142" spans="19:19" x14ac:dyDescent="0.3">
      <c r="S142" s="34">
        <f t="shared" si="2"/>
        <v>0</v>
      </c>
    </row>
    <row r="143" spans="19:19" x14ac:dyDescent="0.3">
      <c r="S143" s="34">
        <f t="shared" si="2"/>
        <v>0</v>
      </c>
    </row>
    <row r="144" spans="19:19" x14ac:dyDescent="0.3">
      <c r="S144" s="34">
        <f t="shared" si="2"/>
        <v>0</v>
      </c>
    </row>
    <row r="145" spans="19:19" x14ac:dyDescent="0.3">
      <c r="S145" s="34">
        <f t="shared" si="2"/>
        <v>0</v>
      </c>
    </row>
    <row r="146" spans="19:19" x14ac:dyDescent="0.3">
      <c r="S146" s="34">
        <f t="shared" si="2"/>
        <v>0</v>
      </c>
    </row>
    <row r="147" spans="19:19" x14ac:dyDescent="0.3">
      <c r="S147" s="34">
        <f t="shared" si="2"/>
        <v>0</v>
      </c>
    </row>
    <row r="148" spans="19:19" x14ac:dyDescent="0.3">
      <c r="S148" s="34">
        <f t="shared" si="2"/>
        <v>0</v>
      </c>
    </row>
    <row r="149" spans="19:19" x14ac:dyDescent="0.3">
      <c r="S149" s="34">
        <f t="shared" si="2"/>
        <v>0</v>
      </c>
    </row>
    <row r="150" spans="19:19" x14ac:dyDescent="0.3">
      <c r="S150" s="34">
        <f t="shared" si="2"/>
        <v>0</v>
      </c>
    </row>
    <row r="151" spans="19:19" x14ac:dyDescent="0.3">
      <c r="S151" s="34">
        <f t="shared" si="2"/>
        <v>0</v>
      </c>
    </row>
    <row r="152" spans="19:19" x14ac:dyDescent="0.3">
      <c r="S152" s="34">
        <f t="shared" si="2"/>
        <v>0</v>
      </c>
    </row>
    <row r="153" spans="19:19" x14ac:dyDescent="0.3">
      <c r="S153" s="34">
        <f t="shared" si="2"/>
        <v>0</v>
      </c>
    </row>
    <row r="154" spans="19:19" x14ac:dyDescent="0.3">
      <c r="S154" s="34">
        <f t="shared" si="2"/>
        <v>0</v>
      </c>
    </row>
    <row r="155" spans="19:19" x14ac:dyDescent="0.3">
      <c r="S155" s="34">
        <f t="shared" si="2"/>
        <v>0</v>
      </c>
    </row>
    <row r="156" spans="19:19" x14ac:dyDescent="0.3">
      <c r="S156" s="34">
        <f t="shared" si="2"/>
        <v>0</v>
      </c>
    </row>
    <row r="157" spans="19:19" x14ac:dyDescent="0.3">
      <c r="S157" s="34">
        <f t="shared" si="2"/>
        <v>0</v>
      </c>
    </row>
    <row r="158" spans="19:19" x14ac:dyDescent="0.3">
      <c r="S158" s="34">
        <f t="shared" si="2"/>
        <v>0</v>
      </c>
    </row>
    <row r="159" spans="19:19" x14ac:dyDescent="0.3">
      <c r="S159" s="34">
        <f t="shared" si="2"/>
        <v>0</v>
      </c>
    </row>
    <row r="160" spans="19:19" x14ac:dyDescent="0.3">
      <c r="S160" s="34">
        <f t="shared" si="2"/>
        <v>0</v>
      </c>
    </row>
    <row r="161" spans="19:19" x14ac:dyDescent="0.3">
      <c r="S161" s="34">
        <f t="shared" si="2"/>
        <v>0</v>
      </c>
    </row>
    <row r="162" spans="19:19" x14ac:dyDescent="0.3">
      <c r="S162" s="34">
        <f t="shared" si="2"/>
        <v>0</v>
      </c>
    </row>
    <row r="163" spans="19:19" x14ac:dyDescent="0.3">
      <c r="S163" s="34">
        <f t="shared" si="2"/>
        <v>0</v>
      </c>
    </row>
    <row r="164" spans="19:19" x14ac:dyDescent="0.3">
      <c r="S164" s="34">
        <f t="shared" si="2"/>
        <v>0</v>
      </c>
    </row>
    <row r="165" spans="19:19" x14ac:dyDescent="0.3">
      <c r="S165" s="34">
        <f t="shared" si="2"/>
        <v>0</v>
      </c>
    </row>
    <row r="166" spans="19:19" x14ac:dyDescent="0.3">
      <c r="S166" s="34">
        <f t="shared" si="2"/>
        <v>0</v>
      </c>
    </row>
    <row r="167" spans="19:19" x14ac:dyDescent="0.3">
      <c r="S167" s="34">
        <f t="shared" si="2"/>
        <v>0</v>
      </c>
    </row>
    <row r="168" spans="19:19" x14ac:dyDescent="0.3">
      <c r="S168" s="34">
        <f t="shared" si="2"/>
        <v>0</v>
      </c>
    </row>
    <row r="169" spans="19:19" x14ac:dyDescent="0.3">
      <c r="S169" s="34">
        <f t="shared" si="2"/>
        <v>0</v>
      </c>
    </row>
    <row r="170" spans="19:19" x14ac:dyDescent="0.3">
      <c r="S170" s="34">
        <f t="shared" si="2"/>
        <v>0</v>
      </c>
    </row>
    <row r="171" spans="19:19" x14ac:dyDescent="0.3">
      <c r="S171" s="34">
        <f t="shared" si="2"/>
        <v>0</v>
      </c>
    </row>
    <row r="172" spans="19:19" x14ac:dyDescent="0.3">
      <c r="S172" s="34">
        <f t="shared" si="2"/>
        <v>0</v>
      </c>
    </row>
    <row r="173" spans="19:19" x14ac:dyDescent="0.3">
      <c r="S173" s="34">
        <f t="shared" si="2"/>
        <v>0</v>
      </c>
    </row>
    <row r="174" spans="19:19" x14ac:dyDescent="0.3">
      <c r="S174" s="34">
        <f t="shared" si="2"/>
        <v>0</v>
      </c>
    </row>
    <row r="175" spans="19:19" x14ac:dyDescent="0.3">
      <c r="S175" s="34">
        <f t="shared" si="2"/>
        <v>0</v>
      </c>
    </row>
    <row r="176" spans="19:19" x14ac:dyDescent="0.3">
      <c r="S176" s="34">
        <f t="shared" si="2"/>
        <v>0</v>
      </c>
    </row>
    <row r="177" spans="19:19" x14ac:dyDescent="0.3">
      <c r="S177" s="34">
        <f t="shared" si="2"/>
        <v>0</v>
      </c>
    </row>
    <row r="178" spans="19:19" x14ac:dyDescent="0.3">
      <c r="S178" s="34">
        <f t="shared" si="2"/>
        <v>0</v>
      </c>
    </row>
    <row r="179" spans="19:19" x14ac:dyDescent="0.3">
      <c r="S179" s="34">
        <f t="shared" si="2"/>
        <v>0</v>
      </c>
    </row>
    <row r="180" spans="19:19" x14ac:dyDescent="0.3">
      <c r="S180" s="34">
        <f t="shared" si="2"/>
        <v>0</v>
      </c>
    </row>
    <row r="181" spans="19:19" x14ac:dyDescent="0.3">
      <c r="S181" s="34">
        <f t="shared" si="2"/>
        <v>0</v>
      </c>
    </row>
    <row r="182" spans="19:19" x14ac:dyDescent="0.3">
      <c r="S182" s="34">
        <f t="shared" si="2"/>
        <v>0</v>
      </c>
    </row>
    <row r="183" spans="19:19" x14ac:dyDescent="0.3">
      <c r="S183" s="34">
        <f t="shared" si="2"/>
        <v>0</v>
      </c>
    </row>
    <row r="184" spans="19:19" x14ac:dyDescent="0.3">
      <c r="S184" s="34">
        <f t="shared" si="2"/>
        <v>0</v>
      </c>
    </row>
    <row r="185" spans="19:19" x14ac:dyDescent="0.3">
      <c r="S185" s="34">
        <f t="shared" si="2"/>
        <v>0</v>
      </c>
    </row>
    <row r="186" spans="19:19" x14ac:dyDescent="0.3">
      <c r="S186" s="34">
        <f t="shared" si="2"/>
        <v>0</v>
      </c>
    </row>
    <row r="187" spans="19:19" x14ac:dyDescent="0.3">
      <c r="S187" s="34">
        <f t="shared" si="2"/>
        <v>0</v>
      </c>
    </row>
    <row r="188" spans="19:19" x14ac:dyDescent="0.3">
      <c r="S188" s="34">
        <f t="shared" si="2"/>
        <v>0</v>
      </c>
    </row>
    <row r="189" spans="19:19" x14ac:dyDescent="0.3">
      <c r="S189" s="34">
        <f t="shared" si="2"/>
        <v>0</v>
      </c>
    </row>
    <row r="190" spans="19:19" x14ac:dyDescent="0.3">
      <c r="S190" s="34">
        <f t="shared" si="2"/>
        <v>0</v>
      </c>
    </row>
    <row r="191" spans="19:19" x14ac:dyDescent="0.3">
      <c r="S191" s="34">
        <f t="shared" si="2"/>
        <v>0</v>
      </c>
    </row>
    <row r="192" spans="19:19" x14ac:dyDescent="0.3">
      <c r="S192" s="34">
        <f t="shared" si="2"/>
        <v>0</v>
      </c>
    </row>
    <row r="193" spans="19:19" x14ac:dyDescent="0.3">
      <c r="S193" s="34">
        <f t="shared" si="2"/>
        <v>0</v>
      </c>
    </row>
    <row r="194" spans="19:19" x14ac:dyDescent="0.3">
      <c r="S194" s="34">
        <f t="shared" si="2"/>
        <v>0</v>
      </c>
    </row>
    <row r="195" spans="19:19" x14ac:dyDescent="0.3">
      <c r="S195" s="34">
        <f t="shared" ref="S195:S258" si="3">SUM(N195:R195)</f>
        <v>0</v>
      </c>
    </row>
    <row r="196" spans="19:19" x14ac:dyDescent="0.3">
      <c r="S196" s="34">
        <f t="shared" si="3"/>
        <v>0</v>
      </c>
    </row>
    <row r="197" spans="19:19" x14ac:dyDescent="0.3">
      <c r="S197" s="34">
        <f t="shared" si="3"/>
        <v>0</v>
      </c>
    </row>
    <row r="198" spans="19:19" x14ac:dyDescent="0.3">
      <c r="S198" s="34">
        <f t="shared" si="3"/>
        <v>0</v>
      </c>
    </row>
    <row r="199" spans="19:19" x14ac:dyDescent="0.3">
      <c r="S199" s="34">
        <f t="shared" si="3"/>
        <v>0</v>
      </c>
    </row>
    <row r="200" spans="19:19" x14ac:dyDescent="0.3">
      <c r="S200" s="34">
        <f t="shared" si="3"/>
        <v>0</v>
      </c>
    </row>
    <row r="201" spans="19:19" x14ac:dyDescent="0.3">
      <c r="S201" s="34">
        <f t="shared" si="3"/>
        <v>0</v>
      </c>
    </row>
    <row r="202" spans="19:19" x14ac:dyDescent="0.3">
      <c r="S202" s="34">
        <f t="shared" si="3"/>
        <v>0</v>
      </c>
    </row>
    <row r="203" spans="19:19" x14ac:dyDescent="0.3">
      <c r="S203" s="34">
        <f t="shared" si="3"/>
        <v>0</v>
      </c>
    </row>
    <row r="204" spans="19:19" x14ac:dyDescent="0.3">
      <c r="S204" s="34">
        <f t="shared" si="3"/>
        <v>0</v>
      </c>
    </row>
    <row r="205" spans="19:19" x14ac:dyDescent="0.3">
      <c r="S205" s="34">
        <f t="shared" si="3"/>
        <v>0</v>
      </c>
    </row>
    <row r="206" spans="19:19" x14ac:dyDescent="0.3">
      <c r="S206" s="34">
        <f t="shared" si="3"/>
        <v>0</v>
      </c>
    </row>
    <row r="207" spans="19:19" x14ac:dyDescent="0.3">
      <c r="S207" s="34">
        <f t="shared" si="3"/>
        <v>0</v>
      </c>
    </row>
    <row r="208" spans="19:19" x14ac:dyDescent="0.3">
      <c r="S208" s="34">
        <f t="shared" si="3"/>
        <v>0</v>
      </c>
    </row>
    <row r="209" spans="19:19" x14ac:dyDescent="0.3">
      <c r="S209" s="34">
        <f t="shared" si="3"/>
        <v>0</v>
      </c>
    </row>
    <row r="210" spans="19:19" x14ac:dyDescent="0.3">
      <c r="S210" s="34">
        <f t="shared" si="3"/>
        <v>0</v>
      </c>
    </row>
    <row r="211" spans="19:19" x14ac:dyDescent="0.3">
      <c r="S211" s="34">
        <f t="shared" si="3"/>
        <v>0</v>
      </c>
    </row>
    <row r="212" spans="19:19" x14ac:dyDescent="0.3">
      <c r="S212" s="34">
        <f t="shared" si="3"/>
        <v>0</v>
      </c>
    </row>
    <row r="213" spans="19:19" x14ac:dyDescent="0.3">
      <c r="S213" s="34">
        <f t="shared" si="3"/>
        <v>0</v>
      </c>
    </row>
    <row r="214" spans="19:19" x14ac:dyDescent="0.3">
      <c r="S214" s="34">
        <f t="shared" si="3"/>
        <v>0</v>
      </c>
    </row>
    <row r="215" spans="19:19" x14ac:dyDescent="0.3">
      <c r="S215" s="34">
        <f t="shared" si="3"/>
        <v>0</v>
      </c>
    </row>
    <row r="216" spans="19:19" x14ac:dyDescent="0.3">
      <c r="S216" s="34">
        <f t="shared" si="3"/>
        <v>0</v>
      </c>
    </row>
    <row r="217" spans="19:19" x14ac:dyDescent="0.3">
      <c r="S217" s="34">
        <f t="shared" si="3"/>
        <v>0</v>
      </c>
    </row>
    <row r="218" spans="19:19" x14ac:dyDescent="0.3">
      <c r="S218" s="34">
        <f t="shared" si="3"/>
        <v>0</v>
      </c>
    </row>
    <row r="219" spans="19:19" x14ac:dyDescent="0.3">
      <c r="S219" s="34">
        <f t="shared" si="3"/>
        <v>0</v>
      </c>
    </row>
    <row r="220" spans="19:19" x14ac:dyDescent="0.3">
      <c r="S220" s="34">
        <f t="shared" si="3"/>
        <v>0</v>
      </c>
    </row>
    <row r="221" spans="19:19" x14ac:dyDescent="0.3">
      <c r="S221" s="34">
        <f t="shared" si="3"/>
        <v>0</v>
      </c>
    </row>
    <row r="222" spans="19:19" x14ac:dyDescent="0.3">
      <c r="S222" s="34">
        <f t="shared" si="3"/>
        <v>0</v>
      </c>
    </row>
    <row r="223" spans="19:19" x14ac:dyDescent="0.3">
      <c r="S223" s="34">
        <f t="shared" si="3"/>
        <v>0</v>
      </c>
    </row>
    <row r="224" spans="19:19" x14ac:dyDescent="0.3">
      <c r="S224" s="34">
        <f t="shared" si="3"/>
        <v>0</v>
      </c>
    </row>
    <row r="225" spans="19:19" x14ac:dyDescent="0.3">
      <c r="S225" s="34">
        <f t="shared" si="3"/>
        <v>0</v>
      </c>
    </row>
    <row r="226" spans="19:19" x14ac:dyDescent="0.3">
      <c r="S226" s="34">
        <f t="shared" si="3"/>
        <v>0</v>
      </c>
    </row>
    <row r="227" spans="19:19" x14ac:dyDescent="0.3">
      <c r="S227" s="34">
        <f t="shared" si="3"/>
        <v>0</v>
      </c>
    </row>
    <row r="228" spans="19:19" x14ac:dyDescent="0.3">
      <c r="S228" s="34">
        <f t="shared" si="3"/>
        <v>0</v>
      </c>
    </row>
    <row r="229" spans="19:19" x14ac:dyDescent="0.3">
      <c r="S229" s="34">
        <f t="shared" si="3"/>
        <v>0</v>
      </c>
    </row>
    <row r="230" spans="19:19" x14ac:dyDescent="0.3">
      <c r="S230" s="34">
        <f t="shared" si="3"/>
        <v>0</v>
      </c>
    </row>
    <row r="231" spans="19:19" x14ac:dyDescent="0.3">
      <c r="S231" s="34">
        <f t="shared" si="3"/>
        <v>0</v>
      </c>
    </row>
    <row r="232" spans="19:19" x14ac:dyDescent="0.3">
      <c r="S232" s="34">
        <f t="shared" si="3"/>
        <v>0</v>
      </c>
    </row>
    <row r="233" spans="19:19" x14ac:dyDescent="0.3">
      <c r="S233" s="34">
        <f t="shared" si="3"/>
        <v>0</v>
      </c>
    </row>
    <row r="234" spans="19:19" x14ac:dyDescent="0.3">
      <c r="S234" s="34">
        <f t="shared" si="3"/>
        <v>0</v>
      </c>
    </row>
    <row r="235" spans="19:19" x14ac:dyDescent="0.3">
      <c r="S235" s="34">
        <f t="shared" si="3"/>
        <v>0</v>
      </c>
    </row>
    <row r="236" spans="19:19" x14ac:dyDescent="0.3">
      <c r="S236" s="34">
        <f t="shared" si="3"/>
        <v>0</v>
      </c>
    </row>
    <row r="237" spans="19:19" x14ac:dyDescent="0.3">
      <c r="S237" s="34">
        <f t="shared" si="3"/>
        <v>0</v>
      </c>
    </row>
    <row r="238" spans="19:19" x14ac:dyDescent="0.3">
      <c r="S238" s="34">
        <f t="shared" si="3"/>
        <v>0</v>
      </c>
    </row>
    <row r="239" spans="19:19" x14ac:dyDescent="0.3">
      <c r="S239" s="34">
        <f t="shared" si="3"/>
        <v>0</v>
      </c>
    </row>
    <row r="240" spans="19:19" x14ac:dyDescent="0.3">
      <c r="S240" s="34">
        <f t="shared" si="3"/>
        <v>0</v>
      </c>
    </row>
    <row r="241" spans="19:19" x14ac:dyDescent="0.3">
      <c r="S241" s="34">
        <f t="shared" si="3"/>
        <v>0</v>
      </c>
    </row>
    <row r="242" spans="19:19" x14ac:dyDescent="0.3">
      <c r="S242" s="34">
        <f t="shared" si="3"/>
        <v>0</v>
      </c>
    </row>
    <row r="243" spans="19:19" x14ac:dyDescent="0.3">
      <c r="S243" s="34">
        <f t="shared" si="3"/>
        <v>0</v>
      </c>
    </row>
    <row r="244" spans="19:19" x14ac:dyDescent="0.3">
      <c r="S244" s="34">
        <f t="shared" si="3"/>
        <v>0</v>
      </c>
    </row>
    <row r="245" spans="19:19" x14ac:dyDescent="0.3">
      <c r="S245" s="34">
        <f t="shared" si="3"/>
        <v>0</v>
      </c>
    </row>
    <row r="246" spans="19:19" x14ac:dyDescent="0.3">
      <c r="S246" s="34">
        <f t="shared" si="3"/>
        <v>0</v>
      </c>
    </row>
    <row r="247" spans="19:19" x14ac:dyDescent="0.3">
      <c r="S247" s="34">
        <f t="shared" si="3"/>
        <v>0</v>
      </c>
    </row>
    <row r="248" spans="19:19" x14ac:dyDescent="0.3">
      <c r="S248" s="34">
        <f t="shared" si="3"/>
        <v>0</v>
      </c>
    </row>
    <row r="249" spans="19:19" x14ac:dyDescent="0.3">
      <c r="S249" s="34">
        <f t="shared" si="3"/>
        <v>0</v>
      </c>
    </row>
    <row r="250" spans="19:19" x14ac:dyDescent="0.3">
      <c r="S250" s="34">
        <f t="shared" si="3"/>
        <v>0</v>
      </c>
    </row>
    <row r="251" spans="19:19" x14ac:dyDescent="0.3">
      <c r="S251" s="34">
        <f t="shared" si="3"/>
        <v>0</v>
      </c>
    </row>
    <row r="252" spans="19:19" x14ac:dyDescent="0.3">
      <c r="S252" s="34">
        <f t="shared" si="3"/>
        <v>0</v>
      </c>
    </row>
    <row r="253" spans="19:19" x14ac:dyDescent="0.3">
      <c r="S253" s="34">
        <f t="shared" si="3"/>
        <v>0</v>
      </c>
    </row>
    <row r="254" spans="19:19" x14ac:dyDescent="0.3">
      <c r="S254" s="34">
        <f t="shared" si="3"/>
        <v>0</v>
      </c>
    </row>
    <row r="255" spans="19:19" x14ac:dyDescent="0.3">
      <c r="S255" s="34">
        <f t="shared" si="3"/>
        <v>0</v>
      </c>
    </row>
    <row r="256" spans="19:19" x14ac:dyDescent="0.3">
      <c r="S256" s="34">
        <f t="shared" si="3"/>
        <v>0</v>
      </c>
    </row>
    <row r="257" spans="19:19" x14ac:dyDescent="0.3">
      <c r="S257" s="34">
        <f t="shared" si="3"/>
        <v>0</v>
      </c>
    </row>
    <row r="258" spans="19:19" x14ac:dyDescent="0.3">
      <c r="S258" s="34">
        <f t="shared" si="3"/>
        <v>0</v>
      </c>
    </row>
    <row r="259" spans="19:19" x14ac:dyDescent="0.3">
      <c r="S259" s="34">
        <f t="shared" ref="S259:S322" si="4">SUM(N259:R259)</f>
        <v>0</v>
      </c>
    </row>
    <row r="260" spans="19:19" x14ac:dyDescent="0.3">
      <c r="S260" s="34">
        <f t="shared" si="4"/>
        <v>0</v>
      </c>
    </row>
    <row r="261" spans="19:19" x14ac:dyDescent="0.3">
      <c r="S261" s="34">
        <f t="shared" si="4"/>
        <v>0</v>
      </c>
    </row>
    <row r="262" spans="19:19" x14ac:dyDescent="0.3">
      <c r="S262" s="34">
        <f t="shared" si="4"/>
        <v>0</v>
      </c>
    </row>
    <row r="263" spans="19:19" x14ac:dyDescent="0.3">
      <c r="S263" s="34">
        <f t="shared" si="4"/>
        <v>0</v>
      </c>
    </row>
    <row r="264" spans="19:19" x14ac:dyDescent="0.3">
      <c r="S264" s="34">
        <f t="shared" si="4"/>
        <v>0</v>
      </c>
    </row>
    <row r="265" spans="19:19" x14ac:dyDescent="0.3">
      <c r="S265" s="34">
        <f t="shared" si="4"/>
        <v>0</v>
      </c>
    </row>
    <row r="266" spans="19:19" x14ac:dyDescent="0.3">
      <c r="S266" s="34">
        <f t="shared" si="4"/>
        <v>0</v>
      </c>
    </row>
    <row r="267" spans="19:19" x14ac:dyDescent="0.3">
      <c r="S267" s="34">
        <f t="shared" si="4"/>
        <v>0</v>
      </c>
    </row>
    <row r="268" spans="19:19" x14ac:dyDescent="0.3">
      <c r="S268" s="34">
        <f t="shared" si="4"/>
        <v>0</v>
      </c>
    </row>
    <row r="269" spans="19:19" x14ac:dyDescent="0.3">
      <c r="S269" s="34">
        <f t="shared" si="4"/>
        <v>0</v>
      </c>
    </row>
    <row r="270" spans="19:19" x14ac:dyDescent="0.3">
      <c r="S270" s="34">
        <f t="shared" si="4"/>
        <v>0</v>
      </c>
    </row>
    <row r="271" spans="19:19" x14ac:dyDescent="0.3">
      <c r="S271" s="34">
        <f t="shared" si="4"/>
        <v>0</v>
      </c>
    </row>
    <row r="272" spans="19:19" x14ac:dyDescent="0.3">
      <c r="S272" s="34">
        <f t="shared" si="4"/>
        <v>0</v>
      </c>
    </row>
    <row r="273" spans="19:19" x14ac:dyDescent="0.3">
      <c r="S273" s="34">
        <f t="shared" si="4"/>
        <v>0</v>
      </c>
    </row>
    <row r="274" spans="19:19" x14ac:dyDescent="0.3">
      <c r="S274" s="34">
        <f t="shared" si="4"/>
        <v>0</v>
      </c>
    </row>
    <row r="275" spans="19:19" x14ac:dyDescent="0.3">
      <c r="S275" s="34">
        <f t="shared" si="4"/>
        <v>0</v>
      </c>
    </row>
    <row r="276" spans="19:19" x14ac:dyDescent="0.3">
      <c r="S276" s="34">
        <f t="shared" si="4"/>
        <v>0</v>
      </c>
    </row>
    <row r="277" spans="19:19" x14ac:dyDescent="0.3">
      <c r="S277" s="34">
        <f t="shared" si="4"/>
        <v>0</v>
      </c>
    </row>
    <row r="278" spans="19:19" x14ac:dyDescent="0.3">
      <c r="S278" s="34">
        <f t="shared" si="4"/>
        <v>0</v>
      </c>
    </row>
    <row r="279" spans="19:19" x14ac:dyDescent="0.3">
      <c r="S279" s="34">
        <f t="shared" si="4"/>
        <v>0</v>
      </c>
    </row>
    <row r="280" spans="19:19" x14ac:dyDescent="0.3">
      <c r="S280" s="34">
        <f t="shared" si="4"/>
        <v>0</v>
      </c>
    </row>
    <row r="281" spans="19:19" x14ac:dyDescent="0.3">
      <c r="S281" s="34">
        <f t="shared" si="4"/>
        <v>0</v>
      </c>
    </row>
    <row r="282" spans="19:19" x14ac:dyDescent="0.3">
      <c r="S282" s="34">
        <f t="shared" si="4"/>
        <v>0</v>
      </c>
    </row>
    <row r="283" spans="19:19" x14ac:dyDescent="0.3">
      <c r="S283" s="34">
        <f t="shared" si="4"/>
        <v>0</v>
      </c>
    </row>
    <row r="284" spans="19:19" x14ac:dyDescent="0.3">
      <c r="S284" s="34">
        <f t="shared" si="4"/>
        <v>0</v>
      </c>
    </row>
    <row r="285" spans="19:19" x14ac:dyDescent="0.3">
      <c r="S285" s="34">
        <f t="shared" si="4"/>
        <v>0</v>
      </c>
    </row>
    <row r="286" spans="19:19" x14ac:dyDescent="0.3">
      <c r="S286" s="34">
        <f t="shared" si="4"/>
        <v>0</v>
      </c>
    </row>
    <row r="287" spans="19:19" x14ac:dyDescent="0.3">
      <c r="S287" s="34">
        <f t="shared" si="4"/>
        <v>0</v>
      </c>
    </row>
    <row r="288" spans="19:19" x14ac:dyDescent="0.3">
      <c r="S288" s="34">
        <f t="shared" si="4"/>
        <v>0</v>
      </c>
    </row>
    <row r="289" spans="19:19" x14ac:dyDescent="0.3">
      <c r="S289" s="34">
        <f t="shared" si="4"/>
        <v>0</v>
      </c>
    </row>
    <row r="290" spans="19:19" x14ac:dyDescent="0.3">
      <c r="S290" s="34">
        <f t="shared" si="4"/>
        <v>0</v>
      </c>
    </row>
    <row r="291" spans="19:19" x14ac:dyDescent="0.3">
      <c r="S291" s="34">
        <f t="shared" si="4"/>
        <v>0</v>
      </c>
    </row>
    <row r="292" spans="19:19" x14ac:dyDescent="0.3">
      <c r="S292" s="34">
        <f t="shared" si="4"/>
        <v>0</v>
      </c>
    </row>
    <row r="293" spans="19:19" x14ac:dyDescent="0.3">
      <c r="S293" s="34">
        <f t="shared" si="4"/>
        <v>0</v>
      </c>
    </row>
    <row r="294" spans="19:19" x14ac:dyDescent="0.3">
      <c r="S294" s="34">
        <f t="shared" si="4"/>
        <v>0</v>
      </c>
    </row>
    <row r="295" spans="19:19" x14ac:dyDescent="0.3">
      <c r="S295" s="34">
        <f t="shared" si="4"/>
        <v>0</v>
      </c>
    </row>
    <row r="296" spans="19:19" x14ac:dyDescent="0.3">
      <c r="S296" s="34">
        <f t="shared" si="4"/>
        <v>0</v>
      </c>
    </row>
    <row r="297" spans="19:19" x14ac:dyDescent="0.3">
      <c r="S297" s="34">
        <f t="shared" si="4"/>
        <v>0</v>
      </c>
    </row>
    <row r="298" spans="19:19" x14ac:dyDescent="0.3">
      <c r="S298" s="34">
        <f t="shared" si="4"/>
        <v>0</v>
      </c>
    </row>
    <row r="299" spans="19:19" x14ac:dyDescent="0.3">
      <c r="S299" s="34">
        <f t="shared" si="4"/>
        <v>0</v>
      </c>
    </row>
    <row r="300" spans="19:19" x14ac:dyDescent="0.3">
      <c r="S300" s="34">
        <f t="shared" si="4"/>
        <v>0</v>
      </c>
    </row>
    <row r="301" spans="19:19" x14ac:dyDescent="0.3">
      <c r="S301" s="34">
        <f t="shared" si="4"/>
        <v>0</v>
      </c>
    </row>
    <row r="302" spans="19:19" x14ac:dyDescent="0.3">
      <c r="S302" s="34">
        <f t="shared" si="4"/>
        <v>0</v>
      </c>
    </row>
    <row r="303" spans="19:19" x14ac:dyDescent="0.3">
      <c r="S303" s="34">
        <f t="shared" si="4"/>
        <v>0</v>
      </c>
    </row>
    <row r="304" spans="19:19" x14ac:dyDescent="0.3">
      <c r="S304" s="34">
        <f t="shared" si="4"/>
        <v>0</v>
      </c>
    </row>
    <row r="305" spans="19:19" x14ac:dyDescent="0.3">
      <c r="S305" s="34">
        <f t="shared" si="4"/>
        <v>0</v>
      </c>
    </row>
    <row r="306" spans="19:19" x14ac:dyDescent="0.3">
      <c r="S306" s="34">
        <f t="shared" si="4"/>
        <v>0</v>
      </c>
    </row>
    <row r="307" spans="19:19" x14ac:dyDescent="0.3">
      <c r="S307" s="34">
        <f t="shared" si="4"/>
        <v>0</v>
      </c>
    </row>
    <row r="308" spans="19:19" x14ac:dyDescent="0.3">
      <c r="S308" s="34">
        <f t="shared" si="4"/>
        <v>0</v>
      </c>
    </row>
    <row r="309" spans="19:19" x14ac:dyDescent="0.3">
      <c r="S309" s="34">
        <f t="shared" si="4"/>
        <v>0</v>
      </c>
    </row>
    <row r="310" spans="19:19" x14ac:dyDescent="0.3">
      <c r="S310" s="34">
        <f t="shared" si="4"/>
        <v>0</v>
      </c>
    </row>
    <row r="311" spans="19:19" x14ac:dyDescent="0.3">
      <c r="S311" s="34">
        <f t="shared" si="4"/>
        <v>0</v>
      </c>
    </row>
    <row r="312" spans="19:19" x14ac:dyDescent="0.3">
      <c r="S312" s="34">
        <f t="shared" si="4"/>
        <v>0</v>
      </c>
    </row>
    <row r="313" spans="19:19" x14ac:dyDescent="0.3">
      <c r="S313" s="34">
        <f t="shared" si="4"/>
        <v>0</v>
      </c>
    </row>
    <row r="314" spans="19:19" x14ac:dyDescent="0.3">
      <c r="S314" s="34">
        <f t="shared" si="4"/>
        <v>0</v>
      </c>
    </row>
    <row r="315" spans="19:19" x14ac:dyDescent="0.3">
      <c r="S315" s="34">
        <f t="shared" si="4"/>
        <v>0</v>
      </c>
    </row>
    <row r="316" spans="19:19" x14ac:dyDescent="0.3">
      <c r="S316" s="34">
        <f t="shared" si="4"/>
        <v>0</v>
      </c>
    </row>
    <row r="317" spans="19:19" x14ac:dyDescent="0.3">
      <c r="S317" s="34">
        <f t="shared" si="4"/>
        <v>0</v>
      </c>
    </row>
    <row r="318" spans="19:19" x14ac:dyDescent="0.3">
      <c r="S318" s="34">
        <f t="shared" si="4"/>
        <v>0</v>
      </c>
    </row>
    <row r="319" spans="19:19" x14ac:dyDescent="0.3">
      <c r="S319" s="34">
        <f t="shared" si="4"/>
        <v>0</v>
      </c>
    </row>
    <row r="320" spans="19:19" x14ac:dyDescent="0.3">
      <c r="S320" s="34">
        <f t="shared" si="4"/>
        <v>0</v>
      </c>
    </row>
    <row r="321" spans="19:19" x14ac:dyDescent="0.3">
      <c r="S321" s="34">
        <f t="shared" si="4"/>
        <v>0</v>
      </c>
    </row>
    <row r="322" spans="19:19" x14ac:dyDescent="0.3">
      <c r="S322" s="34">
        <f t="shared" si="4"/>
        <v>0</v>
      </c>
    </row>
    <row r="323" spans="19:19" x14ac:dyDescent="0.3">
      <c r="S323" s="34">
        <f t="shared" ref="S323:S386" si="5">SUM(N323:R323)</f>
        <v>0</v>
      </c>
    </row>
    <row r="324" spans="19:19" x14ac:dyDescent="0.3">
      <c r="S324" s="34">
        <f t="shared" si="5"/>
        <v>0</v>
      </c>
    </row>
    <row r="325" spans="19:19" x14ac:dyDescent="0.3">
      <c r="S325" s="34">
        <f t="shared" si="5"/>
        <v>0</v>
      </c>
    </row>
    <row r="326" spans="19:19" x14ac:dyDescent="0.3">
      <c r="S326" s="34">
        <f t="shared" si="5"/>
        <v>0</v>
      </c>
    </row>
    <row r="327" spans="19:19" x14ac:dyDescent="0.3">
      <c r="S327" s="34">
        <f t="shared" si="5"/>
        <v>0</v>
      </c>
    </row>
    <row r="328" spans="19:19" x14ac:dyDescent="0.3">
      <c r="S328" s="34">
        <f t="shared" si="5"/>
        <v>0</v>
      </c>
    </row>
    <row r="329" spans="19:19" x14ac:dyDescent="0.3">
      <c r="S329" s="34">
        <f t="shared" si="5"/>
        <v>0</v>
      </c>
    </row>
    <row r="330" spans="19:19" x14ac:dyDescent="0.3">
      <c r="S330" s="34">
        <f t="shared" si="5"/>
        <v>0</v>
      </c>
    </row>
    <row r="331" spans="19:19" x14ac:dyDescent="0.3">
      <c r="S331" s="34">
        <f t="shared" si="5"/>
        <v>0</v>
      </c>
    </row>
    <row r="332" spans="19:19" x14ac:dyDescent="0.3">
      <c r="S332" s="34">
        <f t="shared" si="5"/>
        <v>0</v>
      </c>
    </row>
    <row r="333" spans="19:19" x14ac:dyDescent="0.3">
      <c r="S333" s="34">
        <f t="shared" si="5"/>
        <v>0</v>
      </c>
    </row>
    <row r="334" spans="19:19" x14ac:dyDescent="0.3">
      <c r="S334" s="34">
        <f t="shared" si="5"/>
        <v>0</v>
      </c>
    </row>
    <row r="335" spans="19:19" x14ac:dyDescent="0.3">
      <c r="S335" s="34">
        <f t="shared" si="5"/>
        <v>0</v>
      </c>
    </row>
    <row r="336" spans="19:19" x14ac:dyDescent="0.3">
      <c r="S336" s="34">
        <f t="shared" si="5"/>
        <v>0</v>
      </c>
    </row>
    <row r="337" spans="19:19" x14ac:dyDescent="0.3">
      <c r="S337" s="34">
        <f t="shared" si="5"/>
        <v>0</v>
      </c>
    </row>
    <row r="338" spans="19:19" x14ac:dyDescent="0.3">
      <c r="S338" s="34">
        <f t="shared" si="5"/>
        <v>0</v>
      </c>
    </row>
    <row r="339" spans="19:19" x14ac:dyDescent="0.3">
      <c r="S339" s="34">
        <f t="shared" si="5"/>
        <v>0</v>
      </c>
    </row>
    <row r="340" spans="19:19" x14ac:dyDescent="0.3">
      <c r="S340" s="34">
        <f t="shared" si="5"/>
        <v>0</v>
      </c>
    </row>
    <row r="341" spans="19:19" x14ac:dyDescent="0.3">
      <c r="S341" s="34">
        <f t="shared" si="5"/>
        <v>0</v>
      </c>
    </row>
    <row r="342" spans="19:19" x14ac:dyDescent="0.3">
      <c r="S342" s="34">
        <f t="shared" si="5"/>
        <v>0</v>
      </c>
    </row>
    <row r="343" spans="19:19" x14ac:dyDescent="0.3">
      <c r="S343" s="34">
        <f t="shared" si="5"/>
        <v>0</v>
      </c>
    </row>
    <row r="344" spans="19:19" x14ac:dyDescent="0.3">
      <c r="S344" s="34">
        <f t="shared" si="5"/>
        <v>0</v>
      </c>
    </row>
    <row r="345" spans="19:19" x14ac:dyDescent="0.3">
      <c r="S345" s="34">
        <f t="shared" si="5"/>
        <v>0</v>
      </c>
    </row>
    <row r="346" spans="19:19" x14ac:dyDescent="0.3">
      <c r="S346" s="34">
        <f t="shared" si="5"/>
        <v>0</v>
      </c>
    </row>
    <row r="347" spans="19:19" x14ac:dyDescent="0.3">
      <c r="S347" s="34">
        <f t="shared" si="5"/>
        <v>0</v>
      </c>
    </row>
    <row r="348" spans="19:19" x14ac:dyDescent="0.3">
      <c r="S348" s="34">
        <f t="shared" si="5"/>
        <v>0</v>
      </c>
    </row>
    <row r="349" spans="19:19" x14ac:dyDescent="0.3">
      <c r="S349" s="34">
        <f t="shared" si="5"/>
        <v>0</v>
      </c>
    </row>
    <row r="350" spans="19:19" x14ac:dyDescent="0.3">
      <c r="S350" s="34">
        <f t="shared" si="5"/>
        <v>0</v>
      </c>
    </row>
    <row r="351" spans="19:19" x14ac:dyDescent="0.3">
      <c r="S351" s="34">
        <f t="shared" si="5"/>
        <v>0</v>
      </c>
    </row>
    <row r="352" spans="19:19" x14ac:dyDescent="0.3">
      <c r="S352" s="34">
        <f t="shared" si="5"/>
        <v>0</v>
      </c>
    </row>
    <row r="353" spans="19:19" x14ac:dyDescent="0.3">
      <c r="S353" s="34">
        <f t="shared" si="5"/>
        <v>0</v>
      </c>
    </row>
    <row r="354" spans="19:19" x14ac:dyDescent="0.3">
      <c r="S354" s="34">
        <f t="shared" si="5"/>
        <v>0</v>
      </c>
    </row>
    <row r="355" spans="19:19" x14ac:dyDescent="0.3">
      <c r="S355" s="34">
        <f t="shared" si="5"/>
        <v>0</v>
      </c>
    </row>
    <row r="356" spans="19:19" x14ac:dyDescent="0.3">
      <c r="S356" s="34">
        <f t="shared" si="5"/>
        <v>0</v>
      </c>
    </row>
    <row r="357" spans="19:19" x14ac:dyDescent="0.3">
      <c r="S357" s="34">
        <f t="shared" si="5"/>
        <v>0</v>
      </c>
    </row>
    <row r="358" spans="19:19" x14ac:dyDescent="0.3">
      <c r="S358" s="34">
        <f t="shared" si="5"/>
        <v>0</v>
      </c>
    </row>
    <row r="359" spans="19:19" x14ac:dyDescent="0.3">
      <c r="S359" s="34">
        <f t="shared" si="5"/>
        <v>0</v>
      </c>
    </row>
    <row r="360" spans="19:19" x14ac:dyDescent="0.3">
      <c r="S360" s="34">
        <f t="shared" si="5"/>
        <v>0</v>
      </c>
    </row>
    <row r="361" spans="19:19" x14ac:dyDescent="0.3">
      <c r="S361" s="34">
        <f t="shared" si="5"/>
        <v>0</v>
      </c>
    </row>
    <row r="362" spans="19:19" x14ac:dyDescent="0.3">
      <c r="S362" s="34">
        <f t="shared" si="5"/>
        <v>0</v>
      </c>
    </row>
    <row r="363" spans="19:19" x14ac:dyDescent="0.3">
      <c r="S363" s="34">
        <f t="shared" si="5"/>
        <v>0</v>
      </c>
    </row>
    <row r="364" spans="19:19" x14ac:dyDescent="0.3">
      <c r="S364" s="34">
        <f t="shared" si="5"/>
        <v>0</v>
      </c>
    </row>
    <row r="365" spans="19:19" x14ac:dyDescent="0.3">
      <c r="S365" s="34">
        <f t="shared" si="5"/>
        <v>0</v>
      </c>
    </row>
    <row r="366" spans="19:19" x14ac:dyDescent="0.3">
      <c r="S366" s="34">
        <f t="shared" si="5"/>
        <v>0</v>
      </c>
    </row>
    <row r="367" spans="19:19" x14ac:dyDescent="0.3">
      <c r="S367" s="34">
        <f t="shared" si="5"/>
        <v>0</v>
      </c>
    </row>
    <row r="368" spans="19:19" x14ac:dyDescent="0.3">
      <c r="S368" s="34">
        <f t="shared" si="5"/>
        <v>0</v>
      </c>
    </row>
    <row r="369" spans="19:19" x14ac:dyDescent="0.3">
      <c r="S369" s="34">
        <f t="shared" si="5"/>
        <v>0</v>
      </c>
    </row>
    <row r="370" spans="19:19" x14ac:dyDescent="0.3">
      <c r="S370" s="34">
        <f t="shared" si="5"/>
        <v>0</v>
      </c>
    </row>
    <row r="371" spans="19:19" x14ac:dyDescent="0.3">
      <c r="S371" s="34">
        <f t="shared" si="5"/>
        <v>0</v>
      </c>
    </row>
    <row r="372" spans="19:19" x14ac:dyDescent="0.3">
      <c r="S372" s="34">
        <f t="shared" si="5"/>
        <v>0</v>
      </c>
    </row>
    <row r="373" spans="19:19" x14ac:dyDescent="0.3">
      <c r="S373" s="34">
        <f t="shared" si="5"/>
        <v>0</v>
      </c>
    </row>
    <row r="374" spans="19:19" x14ac:dyDescent="0.3">
      <c r="S374" s="34">
        <f t="shared" si="5"/>
        <v>0</v>
      </c>
    </row>
    <row r="375" spans="19:19" x14ac:dyDescent="0.3">
      <c r="S375" s="34">
        <f t="shared" si="5"/>
        <v>0</v>
      </c>
    </row>
    <row r="376" spans="19:19" x14ac:dyDescent="0.3">
      <c r="S376" s="34">
        <f t="shared" si="5"/>
        <v>0</v>
      </c>
    </row>
    <row r="377" spans="19:19" x14ac:dyDescent="0.3">
      <c r="S377" s="34">
        <f t="shared" si="5"/>
        <v>0</v>
      </c>
    </row>
    <row r="378" spans="19:19" x14ac:dyDescent="0.3">
      <c r="S378" s="34">
        <f t="shared" si="5"/>
        <v>0</v>
      </c>
    </row>
    <row r="379" spans="19:19" x14ac:dyDescent="0.3">
      <c r="S379" s="34">
        <f t="shared" si="5"/>
        <v>0</v>
      </c>
    </row>
    <row r="380" spans="19:19" x14ac:dyDescent="0.3">
      <c r="S380" s="34">
        <f t="shared" si="5"/>
        <v>0</v>
      </c>
    </row>
    <row r="381" spans="19:19" x14ac:dyDescent="0.3">
      <c r="S381" s="34">
        <f t="shared" si="5"/>
        <v>0</v>
      </c>
    </row>
    <row r="382" spans="19:19" x14ac:dyDescent="0.3">
      <c r="S382" s="34">
        <f t="shared" si="5"/>
        <v>0</v>
      </c>
    </row>
    <row r="383" spans="19:19" x14ac:dyDescent="0.3">
      <c r="S383" s="34">
        <f t="shared" si="5"/>
        <v>0</v>
      </c>
    </row>
    <row r="384" spans="19:19" x14ac:dyDescent="0.3">
      <c r="S384" s="34">
        <f t="shared" si="5"/>
        <v>0</v>
      </c>
    </row>
    <row r="385" spans="19:19" x14ac:dyDescent="0.3">
      <c r="S385" s="34">
        <f t="shared" si="5"/>
        <v>0</v>
      </c>
    </row>
    <row r="386" spans="19:19" x14ac:dyDescent="0.3">
      <c r="S386" s="34">
        <f t="shared" si="5"/>
        <v>0</v>
      </c>
    </row>
    <row r="387" spans="19:19" x14ac:dyDescent="0.3">
      <c r="S387" s="34">
        <f t="shared" ref="S387:S450" si="6">SUM(N387:R387)</f>
        <v>0</v>
      </c>
    </row>
    <row r="388" spans="19:19" x14ac:dyDescent="0.3">
      <c r="S388" s="34">
        <f t="shared" si="6"/>
        <v>0</v>
      </c>
    </row>
    <row r="389" spans="19:19" x14ac:dyDescent="0.3">
      <c r="S389" s="34">
        <f t="shared" si="6"/>
        <v>0</v>
      </c>
    </row>
    <row r="390" spans="19:19" x14ac:dyDescent="0.3">
      <c r="S390" s="34">
        <f t="shared" si="6"/>
        <v>0</v>
      </c>
    </row>
    <row r="391" spans="19:19" x14ac:dyDescent="0.3">
      <c r="S391" s="34">
        <f t="shared" si="6"/>
        <v>0</v>
      </c>
    </row>
    <row r="392" spans="19:19" x14ac:dyDescent="0.3">
      <c r="S392" s="34">
        <f t="shared" si="6"/>
        <v>0</v>
      </c>
    </row>
    <row r="393" spans="19:19" x14ac:dyDescent="0.3">
      <c r="S393" s="34">
        <f t="shared" si="6"/>
        <v>0</v>
      </c>
    </row>
    <row r="394" spans="19:19" x14ac:dyDescent="0.3">
      <c r="S394" s="34">
        <f t="shared" si="6"/>
        <v>0</v>
      </c>
    </row>
    <row r="395" spans="19:19" x14ac:dyDescent="0.3">
      <c r="S395" s="34">
        <f t="shared" si="6"/>
        <v>0</v>
      </c>
    </row>
    <row r="396" spans="19:19" x14ac:dyDescent="0.3">
      <c r="S396" s="34">
        <f t="shared" si="6"/>
        <v>0</v>
      </c>
    </row>
    <row r="397" spans="19:19" x14ac:dyDescent="0.3">
      <c r="S397" s="34">
        <f t="shared" si="6"/>
        <v>0</v>
      </c>
    </row>
    <row r="398" spans="19:19" x14ac:dyDescent="0.3">
      <c r="S398" s="34">
        <f t="shared" si="6"/>
        <v>0</v>
      </c>
    </row>
    <row r="399" spans="19:19" x14ac:dyDescent="0.3">
      <c r="S399" s="34">
        <f t="shared" si="6"/>
        <v>0</v>
      </c>
    </row>
    <row r="400" spans="19:19" x14ac:dyDescent="0.3">
      <c r="S400" s="34">
        <f t="shared" si="6"/>
        <v>0</v>
      </c>
    </row>
    <row r="401" spans="19:19" x14ac:dyDescent="0.3">
      <c r="S401" s="34">
        <f t="shared" si="6"/>
        <v>0</v>
      </c>
    </row>
    <row r="402" spans="19:19" x14ac:dyDescent="0.3">
      <c r="S402" s="34">
        <f t="shared" si="6"/>
        <v>0</v>
      </c>
    </row>
    <row r="403" spans="19:19" x14ac:dyDescent="0.3">
      <c r="S403" s="34">
        <f t="shared" si="6"/>
        <v>0</v>
      </c>
    </row>
    <row r="404" spans="19:19" x14ac:dyDescent="0.3">
      <c r="S404" s="34">
        <f t="shared" si="6"/>
        <v>0</v>
      </c>
    </row>
    <row r="405" spans="19:19" x14ac:dyDescent="0.3">
      <c r="S405" s="34">
        <f t="shared" si="6"/>
        <v>0</v>
      </c>
    </row>
    <row r="406" spans="19:19" x14ac:dyDescent="0.3">
      <c r="S406" s="34">
        <f t="shared" si="6"/>
        <v>0</v>
      </c>
    </row>
    <row r="407" spans="19:19" x14ac:dyDescent="0.3">
      <c r="S407" s="34">
        <f t="shared" si="6"/>
        <v>0</v>
      </c>
    </row>
    <row r="408" spans="19:19" x14ac:dyDescent="0.3">
      <c r="S408" s="34">
        <f t="shared" si="6"/>
        <v>0</v>
      </c>
    </row>
    <row r="409" spans="19:19" x14ac:dyDescent="0.3">
      <c r="S409" s="34">
        <f t="shared" si="6"/>
        <v>0</v>
      </c>
    </row>
    <row r="410" spans="19:19" x14ac:dyDescent="0.3">
      <c r="S410" s="34">
        <f t="shared" si="6"/>
        <v>0</v>
      </c>
    </row>
    <row r="411" spans="19:19" x14ac:dyDescent="0.3">
      <c r="S411" s="34">
        <f t="shared" si="6"/>
        <v>0</v>
      </c>
    </row>
    <row r="412" spans="19:19" x14ac:dyDescent="0.3">
      <c r="S412" s="34">
        <f t="shared" si="6"/>
        <v>0</v>
      </c>
    </row>
    <row r="413" spans="19:19" x14ac:dyDescent="0.3">
      <c r="S413" s="34">
        <f t="shared" si="6"/>
        <v>0</v>
      </c>
    </row>
    <row r="414" spans="19:19" x14ac:dyDescent="0.3">
      <c r="S414" s="34">
        <f t="shared" si="6"/>
        <v>0</v>
      </c>
    </row>
    <row r="415" spans="19:19" x14ac:dyDescent="0.3">
      <c r="S415" s="34">
        <f t="shared" si="6"/>
        <v>0</v>
      </c>
    </row>
    <row r="416" spans="19:19" x14ac:dyDescent="0.3">
      <c r="S416" s="34">
        <f t="shared" si="6"/>
        <v>0</v>
      </c>
    </row>
    <row r="417" spans="19:19" x14ac:dyDescent="0.3">
      <c r="S417" s="34">
        <f t="shared" si="6"/>
        <v>0</v>
      </c>
    </row>
    <row r="418" spans="19:19" x14ac:dyDescent="0.3">
      <c r="S418" s="34">
        <f t="shared" si="6"/>
        <v>0</v>
      </c>
    </row>
    <row r="419" spans="19:19" x14ac:dyDescent="0.3">
      <c r="S419" s="34">
        <f t="shared" si="6"/>
        <v>0</v>
      </c>
    </row>
    <row r="420" spans="19:19" x14ac:dyDescent="0.3">
      <c r="S420" s="34">
        <f t="shared" si="6"/>
        <v>0</v>
      </c>
    </row>
    <row r="421" spans="19:19" x14ac:dyDescent="0.3">
      <c r="S421" s="34">
        <f t="shared" si="6"/>
        <v>0</v>
      </c>
    </row>
    <row r="422" spans="19:19" x14ac:dyDescent="0.3">
      <c r="S422" s="34">
        <f t="shared" si="6"/>
        <v>0</v>
      </c>
    </row>
    <row r="423" spans="19:19" x14ac:dyDescent="0.3">
      <c r="S423" s="34">
        <f t="shared" si="6"/>
        <v>0</v>
      </c>
    </row>
    <row r="424" spans="19:19" x14ac:dyDescent="0.3">
      <c r="S424" s="34">
        <f t="shared" si="6"/>
        <v>0</v>
      </c>
    </row>
    <row r="425" spans="19:19" x14ac:dyDescent="0.3">
      <c r="S425" s="34">
        <f t="shared" si="6"/>
        <v>0</v>
      </c>
    </row>
    <row r="426" spans="19:19" x14ac:dyDescent="0.3">
      <c r="S426" s="34">
        <f t="shared" si="6"/>
        <v>0</v>
      </c>
    </row>
    <row r="427" spans="19:19" x14ac:dyDescent="0.3">
      <c r="S427" s="34">
        <f t="shared" si="6"/>
        <v>0</v>
      </c>
    </row>
    <row r="428" spans="19:19" x14ac:dyDescent="0.3">
      <c r="S428" s="34">
        <f t="shared" si="6"/>
        <v>0</v>
      </c>
    </row>
    <row r="429" spans="19:19" x14ac:dyDescent="0.3">
      <c r="S429" s="34">
        <f t="shared" si="6"/>
        <v>0</v>
      </c>
    </row>
    <row r="430" spans="19:19" x14ac:dyDescent="0.3">
      <c r="S430" s="34">
        <f t="shared" si="6"/>
        <v>0</v>
      </c>
    </row>
    <row r="431" spans="19:19" x14ac:dyDescent="0.3">
      <c r="S431" s="34">
        <f t="shared" si="6"/>
        <v>0</v>
      </c>
    </row>
    <row r="432" spans="19:19" x14ac:dyDescent="0.3">
      <c r="S432" s="34">
        <f t="shared" si="6"/>
        <v>0</v>
      </c>
    </row>
    <row r="433" spans="19:19" x14ac:dyDescent="0.3">
      <c r="S433" s="34">
        <f t="shared" si="6"/>
        <v>0</v>
      </c>
    </row>
    <row r="434" spans="19:19" x14ac:dyDescent="0.3">
      <c r="S434" s="34">
        <f t="shared" si="6"/>
        <v>0</v>
      </c>
    </row>
    <row r="435" spans="19:19" x14ac:dyDescent="0.3">
      <c r="S435" s="34">
        <f t="shared" si="6"/>
        <v>0</v>
      </c>
    </row>
    <row r="436" spans="19:19" x14ac:dyDescent="0.3">
      <c r="S436" s="34">
        <f t="shared" si="6"/>
        <v>0</v>
      </c>
    </row>
    <row r="437" spans="19:19" x14ac:dyDescent="0.3">
      <c r="S437" s="34">
        <f t="shared" si="6"/>
        <v>0</v>
      </c>
    </row>
    <row r="438" spans="19:19" x14ac:dyDescent="0.3">
      <c r="S438" s="34">
        <f t="shared" si="6"/>
        <v>0</v>
      </c>
    </row>
    <row r="439" spans="19:19" x14ac:dyDescent="0.3">
      <c r="S439" s="34">
        <f t="shared" si="6"/>
        <v>0</v>
      </c>
    </row>
    <row r="440" spans="19:19" x14ac:dyDescent="0.3">
      <c r="S440" s="34">
        <f t="shared" si="6"/>
        <v>0</v>
      </c>
    </row>
    <row r="441" spans="19:19" x14ac:dyDescent="0.3">
      <c r="S441" s="34">
        <f t="shared" si="6"/>
        <v>0</v>
      </c>
    </row>
    <row r="442" spans="19:19" x14ac:dyDescent="0.3">
      <c r="S442" s="34">
        <f t="shared" si="6"/>
        <v>0</v>
      </c>
    </row>
    <row r="443" spans="19:19" x14ac:dyDescent="0.3">
      <c r="S443" s="34">
        <f t="shared" si="6"/>
        <v>0</v>
      </c>
    </row>
    <row r="444" spans="19:19" x14ac:dyDescent="0.3">
      <c r="S444" s="34">
        <f t="shared" si="6"/>
        <v>0</v>
      </c>
    </row>
    <row r="445" spans="19:19" x14ac:dyDescent="0.3">
      <c r="S445" s="34">
        <f t="shared" si="6"/>
        <v>0</v>
      </c>
    </row>
    <row r="446" spans="19:19" x14ac:dyDescent="0.3">
      <c r="S446" s="34">
        <f t="shared" si="6"/>
        <v>0</v>
      </c>
    </row>
    <row r="447" spans="19:19" x14ac:dyDescent="0.3">
      <c r="S447" s="34">
        <f t="shared" si="6"/>
        <v>0</v>
      </c>
    </row>
    <row r="448" spans="19:19" x14ac:dyDescent="0.3">
      <c r="S448" s="34">
        <f t="shared" si="6"/>
        <v>0</v>
      </c>
    </row>
    <row r="449" spans="19:19" x14ac:dyDescent="0.3">
      <c r="S449" s="34">
        <f t="shared" si="6"/>
        <v>0</v>
      </c>
    </row>
    <row r="450" spans="19:19" x14ac:dyDescent="0.3">
      <c r="S450" s="34">
        <f t="shared" si="6"/>
        <v>0</v>
      </c>
    </row>
    <row r="451" spans="19:19" x14ac:dyDescent="0.3">
      <c r="S451" s="34">
        <f t="shared" ref="S451:S514" si="7">SUM(N451:R451)</f>
        <v>0</v>
      </c>
    </row>
    <row r="452" spans="19:19" x14ac:dyDescent="0.3">
      <c r="S452" s="34">
        <f t="shared" si="7"/>
        <v>0</v>
      </c>
    </row>
    <row r="453" spans="19:19" x14ac:dyDescent="0.3">
      <c r="S453" s="34">
        <f t="shared" si="7"/>
        <v>0</v>
      </c>
    </row>
    <row r="454" spans="19:19" x14ac:dyDescent="0.3">
      <c r="S454" s="34">
        <f t="shared" si="7"/>
        <v>0</v>
      </c>
    </row>
    <row r="455" spans="19:19" x14ac:dyDescent="0.3">
      <c r="S455" s="34">
        <f t="shared" si="7"/>
        <v>0</v>
      </c>
    </row>
    <row r="456" spans="19:19" x14ac:dyDescent="0.3">
      <c r="S456" s="34">
        <f t="shared" si="7"/>
        <v>0</v>
      </c>
    </row>
    <row r="457" spans="19:19" x14ac:dyDescent="0.3">
      <c r="S457" s="34">
        <f t="shared" si="7"/>
        <v>0</v>
      </c>
    </row>
    <row r="458" spans="19:19" x14ac:dyDescent="0.3">
      <c r="S458" s="34">
        <f t="shared" si="7"/>
        <v>0</v>
      </c>
    </row>
    <row r="459" spans="19:19" x14ac:dyDescent="0.3">
      <c r="S459" s="34">
        <f t="shared" si="7"/>
        <v>0</v>
      </c>
    </row>
    <row r="460" spans="19:19" x14ac:dyDescent="0.3">
      <c r="S460" s="34">
        <f t="shared" si="7"/>
        <v>0</v>
      </c>
    </row>
    <row r="461" spans="19:19" x14ac:dyDescent="0.3">
      <c r="S461" s="34">
        <f t="shared" si="7"/>
        <v>0</v>
      </c>
    </row>
    <row r="462" spans="19:19" x14ac:dyDescent="0.3">
      <c r="S462" s="34">
        <f t="shared" si="7"/>
        <v>0</v>
      </c>
    </row>
    <row r="463" spans="19:19" x14ac:dyDescent="0.3">
      <c r="S463" s="34">
        <f t="shared" si="7"/>
        <v>0</v>
      </c>
    </row>
    <row r="464" spans="19:19" x14ac:dyDescent="0.3">
      <c r="S464" s="34">
        <f t="shared" si="7"/>
        <v>0</v>
      </c>
    </row>
    <row r="465" spans="19:19" x14ac:dyDescent="0.3">
      <c r="S465" s="34">
        <f t="shared" si="7"/>
        <v>0</v>
      </c>
    </row>
    <row r="466" spans="19:19" x14ac:dyDescent="0.3">
      <c r="S466" s="34">
        <f t="shared" si="7"/>
        <v>0</v>
      </c>
    </row>
    <row r="467" spans="19:19" x14ac:dyDescent="0.3">
      <c r="S467" s="34">
        <f t="shared" si="7"/>
        <v>0</v>
      </c>
    </row>
    <row r="468" spans="19:19" x14ac:dyDescent="0.3">
      <c r="S468" s="34">
        <f t="shared" si="7"/>
        <v>0</v>
      </c>
    </row>
    <row r="469" spans="19:19" x14ac:dyDescent="0.3">
      <c r="S469" s="34">
        <f t="shared" si="7"/>
        <v>0</v>
      </c>
    </row>
    <row r="470" spans="19:19" x14ac:dyDescent="0.3">
      <c r="S470" s="34">
        <f t="shared" si="7"/>
        <v>0</v>
      </c>
    </row>
    <row r="471" spans="19:19" x14ac:dyDescent="0.3">
      <c r="S471" s="34">
        <f t="shared" si="7"/>
        <v>0</v>
      </c>
    </row>
    <row r="472" spans="19:19" x14ac:dyDescent="0.3">
      <c r="S472" s="34">
        <f t="shared" si="7"/>
        <v>0</v>
      </c>
    </row>
    <row r="473" spans="19:19" x14ac:dyDescent="0.3">
      <c r="S473" s="34">
        <f t="shared" si="7"/>
        <v>0</v>
      </c>
    </row>
    <row r="474" spans="19:19" x14ac:dyDescent="0.3">
      <c r="S474" s="34">
        <f t="shared" si="7"/>
        <v>0</v>
      </c>
    </row>
    <row r="475" spans="19:19" x14ac:dyDescent="0.3">
      <c r="S475" s="34">
        <f t="shared" si="7"/>
        <v>0</v>
      </c>
    </row>
    <row r="476" spans="19:19" x14ac:dyDescent="0.3">
      <c r="S476" s="34">
        <f t="shared" si="7"/>
        <v>0</v>
      </c>
    </row>
    <row r="477" spans="19:19" x14ac:dyDescent="0.3">
      <c r="S477" s="34">
        <f t="shared" si="7"/>
        <v>0</v>
      </c>
    </row>
    <row r="478" spans="19:19" x14ac:dyDescent="0.3">
      <c r="S478" s="34">
        <f t="shared" si="7"/>
        <v>0</v>
      </c>
    </row>
    <row r="479" spans="19:19" x14ac:dyDescent="0.3">
      <c r="S479" s="34">
        <f t="shared" si="7"/>
        <v>0</v>
      </c>
    </row>
    <row r="480" spans="19:19" x14ac:dyDescent="0.3">
      <c r="S480" s="34">
        <f t="shared" si="7"/>
        <v>0</v>
      </c>
    </row>
    <row r="481" spans="19:19" x14ac:dyDescent="0.3">
      <c r="S481" s="34">
        <f t="shared" si="7"/>
        <v>0</v>
      </c>
    </row>
    <row r="482" spans="19:19" x14ac:dyDescent="0.3">
      <c r="S482" s="34">
        <f t="shared" si="7"/>
        <v>0</v>
      </c>
    </row>
    <row r="483" spans="19:19" x14ac:dyDescent="0.3">
      <c r="S483" s="34">
        <f t="shared" si="7"/>
        <v>0</v>
      </c>
    </row>
    <row r="484" spans="19:19" x14ac:dyDescent="0.3">
      <c r="S484" s="34">
        <f t="shared" si="7"/>
        <v>0</v>
      </c>
    </row>
    <row r="485" spans="19:19" x14ac:dyDescent="0.3">
      <c r="S485" s="34">
        <f t="shared" si="7"/>
        <v>0</v>
      </c>
    </row>
    <row r="486" spans="19:19" x14ac:dyDescent="0.3">
      <c r="S486" s="34">
        <f t="shared" si="7"/>
        <v>0</v>
      </c>
    </row>
    <row r="487" spans="19:19" x14ac:dyDescent="0.3">
      <c r="S487" s="34">
        <f t="shared" si="7"/>
        <v>0</v>
      </c>
    </row>
    <row r="488" spans="19:19" x14ac:dyDescent="0.3">
      <c r="S488" s="34">
        <f t="shared" si="7"/>
        <v>0</v>
      </c>
    </row>
    <row r="489" spans="19:19" x14ac:dyDescent="0.3">
      <c r="S489" s="34">
        <f t="shared" si="7"/>
        <v>0</v>
      </c>
    </row>
    <row r="490" spans="19:19" x14ac:dyDescent="0.3">
      <c r="S490" s="34">
        <f t="shared" si="7"/>
        <v>0</v>
      </c>
    </row>
    <row r="491" spans="19:19" x14ac:dyDescent="0.3">
      <c r="S491" s="34">
        <f t="shared" si="7"/>
        <v>0</v>
      </c>
    </row>
    <row r="492" spans="19:19" x14ac:dyDescent="0.3">
      <c r="S492" s="34">
        <f t="shared" si="7"/>
        <v>0</v>
      </c>
    </row>
    <row r="493" spans="19:19" x14ac:dyDescent="0.3">
      <c r="S493" s="34">
        <f t="shared" si="7"/>
        <v>0</v>
      </c>
    </row>
    <row r="494" spans="19:19" x14ac:dyDescent="0.3">
      <c r="S494" s="34">
        <f t="shared" si="7"/>
        <v>0</v>
      </c>
    </row>
    <row r="495" spans="19:19" x14ac:dyDescent="0.3">
      <c r="S495" s="34">
        <f t="shared" si="7"/>
        <v>0</v>
      </c>
    </row>
    <row r="496" spans="19:19" x14ac:dyDescent="0.3">
      <c r="S496" s="34">
        <f t="shared" si="7"/>
        <v>0</v>
      </c>
    </row>
    <row r="497" spans="19:19" x14ac:dyDescent="0.3">
      <c r="S497" s="34">
        <f t="shared" si="7"/>
        <v>0</v>
      </c>
    </row>
    <row r="498" spans="19:19" x14ac:dyDescent="0.3">
      <c r="S498" s="34">
        <f t="shared" si="7"/>
        <v>0</v>
      </c>
    </row>
    <row r="499" spans="19:19" x14ac:dyDescent="0.3">
      <c r="S499" s="34">
        <f t="shared" si="7"/>
        <v>0</v>
      </c>
    </row>
    <row r="500" spans="19:19" x14ac:dyDescent="0.3">
      <c r="S500" s="34">
        <f t="shared" si="7"/>
        <v>0</v>
      </c>
    </row>
    <row r="501" spans="19:19" x14ac:dyDescent="0.3">
      <c r="S501" s="34">
        <f t="shared" si="7"/>
        <v>0</v>
      </c>
    </row>
    <row r="502" spans="19:19" x14ac:dyDescent="0.3">
      <c r="S502" s="34">
        <f t="shared" si="7"/>
        <v>0</v>
      </c>
    </row>
    <row r="503" spans="19:19" x14ac:dyDescent="0.3">
      <c r="S503" s="34">
        <f t="shared" si="7"/>
        <v>0</v>
      </c>
    </row>
    <row r="504" spans="19:19" x14ac:dyDescent="0.3">
      <c r="S504" s="34">
        <f t="shared" si="7"/>
        <v>0</v>
      </c>
    </row>
    <row r="505" spans="19:19" x14ac:dyDescent="0.3">
      <c r="S505" s="34">
        <f t="shared" si="7"/>
        <v>0</v>
      </c>
    </row>
    <row r="506" spans="19:19" x14ac:dyDescent="0.3">
      <c r="S506" s="34">
        <f t="shared" si="7"/>
        <v>0</v>
      </c>
    </row>
    <row r="507" spans="19:19" x14ac:dyDescent="0.3">
      <c r="S507" s="34">
        <f t="shared" si="7"/>
        <v>0</v>
      </c>
    </row>
    <row r="508" spans="19:19" x14ac:dyDescent="0.3">
      <c r="S508" s="34">
        <f t="shared" si="7"/>
        <v>0</v>
      </c>
    </row>
    <row r="509" spans="19:19" x14ac:dyDescent="0.3">
      <c r="S509" s="34">
        <f t="shared" si="7"/>
        <v>0</v>
      </c>
    </row>
    <row r="510" spans="19:19" x14ac:dyDescent="0.3">
      <c r="S510" s="34">
        <f t="shared" si="7"/>
        <v>0</v>
      </c>
    </row>
    <row r="511" spans="19:19" x14ac:dyDescent="0.3">
      <c r="S511" s="34">
        <f t="shared" si="7"/>
        <v>0</v>
      </c>
    </row>
    <row r="512" spans="19:19" x14ac:dyDescent="0.3">
      <c r="S512" s="34">
        <f t="shared" si="7"/>
        <v>0</v>
      </c>
    </row>
    <row r="513" spans="19:19" x14ac:dyDescent="0.3">
      <c r="S513" s="34">
        <f t="shared" si="7"/>
        <v>0</v>
      </c>
    </row>
    <row r="514" spans="19:19" x14ac:dyDescent="0.3">
      <c r="S514" s="34">
        <f t="shared" si="7"/>
        <v>0</v>
      </c>
    </row>
    <row r="515" spans="19:19" x14ac:dyDescent="0.3">
      <c r="S515" s="34">
        <f t="shared" ref="S515:S523" si="8">SUM(N515:R515)</f>
        <v>0</v>
      </c>
    </row>
    <row r="516" spans="19:19" x14ac:dyDescent="0.3">
      <c r="S516" s="34">
        <f t="shared" si="8"/>
        <v>0</v>
      </c>
    </row>
    <row r="517" spans="19:19" x14ac:dyDescent="0.3">
      <c r="S517" s="34">
        <f t="shared" si="8"/>
        <v>0</v>
      </c>
    </row>
    <row r="518" spans="19:19" x14ac:dyDescent="0.3">
      <c r="S518" s="34">
        <f t="shared" si="8"/>
        <v>0</v>
      </c>
    </row>
    <row r="519" spans="19:19" x14ac:dyDescent="0.3">
      <c r="S519" s="34">
        <f t="shared" si="8"/>
        <v>0</v>
      </c>
    </row>
    <row r="520" spans="19:19" x14ac:dyDescent="0.3">
      <c r="S520" s="34">
        <f t="shared" si="8"/>
        <v>0</v>
      </c>
    </row>
    <row r="521" spans="19:19" x14ac:dyDescent="0.3">
      <c r="S521" s="34">
        <f t="shared" si="8"/>
        <v>0</v>
      </c>
    </row>
    <row r="522" spans="19:19" x14ac:dyDescent="0.3">
      <c r="S522" s="34">
        <f t="shared" si="8"/>
        <v>0</v>
      </c>
    </row>
    <row r="523" spans="19:19" x14ac:dyDescent="0.3">
      <c r="S523" s="34">
        <f t="shared" si="8"/>
        <v>0</v>
      </c>
    </row>
  </sheetData>
  <autoFilter ref="A1:S1" xr:uid="{00000000-0001-0000-00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D631-147F-452A-8C89-9A0F6F53FC81}">
  <sheetPr>
    <tabColor rgb="FFFFFF00"/>
  </sheetPr>
  <dimension ref="A1:U523"/>
  <sheetViews>
    <sheetView workbookViewId="0">
      <selection activeCell="F14" sqref="F14"/>
    </sheetView>
  </sheetViews>
  <sheetFormatPr defaultColWidth="8.88671875" defaultRowHeight="14.4" x14ac:dyDescent="0.3"/>
  <cols>
    <col min="1" max="1" width="23.6640625" style="2" customWidth="1"/>
    <col min="2" max="2" width="17.33203125" style="2" customWidth="1"/>
    <col min="3" max="3" width="31.6640625" style="2" customWidth="1"/>
    <col min="4" max="4" width="13.44140625" style="2" customWidth="1"/>
    <col min="5" max="5" width="14.33203125" style="2" customWidth="1"/>
    <col min="6" max="6" width="12.109375" style="2" customWidth="1"/>
    <col min="7" max="7" width="11.44140625" style="2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8.6640625" style="2" customWidth="1"/>
    <col min="18" max="18" width="8.88671875" style="2"/>
    <col min="19" max="19" width="8.88671875" style="36"/>
    <col min="20" max="16384" width="8.88671875" style="2"/>
  </cols>
  <sheetData>
    <row r="1" spans="1:21" ht="28.8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8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9" t="s">
        <v>18</v>
      </c>
      <c r="T1" s="7"/>
      <c r="U1" s="1"/>
    </row>
    <row r="2" spans="1:21" x14ac:dyDescent="0.3">
      <c r="A2" s="2" t="s">
        <v>134</v>
      </c>
      <c r="B2" s="2" t="s">
        <v>50</v>
      </c>
      <c r="C2" s="2" t="s">
        <v>136</v>
      </c>
      <c r="E2" s="57">
        <v>45756</v>
      </c>
      <c r="F2" s="57">
        <v>45756</v>
      </c>
      <c r="G2" s="57">
        <v>45756</v>
      </c>
      <c r="H2" s="2">
        <v>1</v>
      </c>
      <c r="I2" s="2" t="s">
        <v>54</v>
      </c>
      <c r="J2" s="2" t="s">
        <v>55</v>
      </c>
      <c r="O2" s="2">
        <v>57.5</v>
      </c>
      <c r="S2" s="36">
        <f>SUM(N2:R2)</f>
        <v>57.5</v>
      </c>
    </row>
    <row r="3" spans="1:21" x14ac:dyDescent="0.3">
      <c r="A3" s="2" t="s">
        <v>135</v>
      </c>
      <c r="B3" s="2" t="s">
        <v>50</v>
      </c>
      <c r="C3" s="2" t="s">
        <v>136</v>
      </c>
      <c r="E3" s="57">
        <v>45756</v>
      </c>
      <c r="F3" s="57">
        <v>45756</v>
      </c>
      <c r="G3" s="57">
        <v>45756</v>
      </c>
      <c r="H3" s="2">
        <v>1</v>
      </c>
      <c r="I3" s="2" t="s">
        <v>54</v>
      </c>
      <c r="J3" s="2" t="s">
        <v>55</v>
      </c>
      <c r="O3" s="2">
        <v>57.5</v>
      </c>
      <c r="S3" s="36">
        <f t="shared" ref="S3:S66" si="0">SUM(N3:R3)</f>
        <v>57.5</v>
      </c>
    </row>
    <row r="4" spans="1:21" x14ac:dyDescent="0.3">
      <c r="S4" s="36">
        <f t="shared" si="0"/>
        <v>0</v>
      </c>
    </row>
    <row r="5" spans="1:21" x14ac:dyDescent="0.3">
      <c r="S5" s="36">
        <f t="shared" si="0"/>
        <v>0</v>
      </c>
    </row>
    <row r="6" spans="1:21" x14ac:dyDescent="0.3">
      <c r="S6" s="36">
        <f t="shared" si="0"/>
        <v>0</v>
      </c>
    </row>
    <row r="7" spans="1:21" x14ac:dyDescent="0.3">
      <c r="S7" s="36">
        <f t="shared" si="0"/>
        <v>0</v>
      </c>
    </row>
    <row r="8" spans="1:21" x14ac:dyDescent="0.3">
      <c r="S8" s="36">
        <f t="shared" si="0"/>
        <v>0</v>
      </c>
    </row>
    <row r="9" spans="1:21" x14ac:dyDescent="0.3">
      <c r="S9" s="36">
        <f t="shared" si="0"/>
        <v>0</v>
      </c>
    </row>
    <row r="10" spans="1:21" x14ac:dyDescent="0.3">
      <c r="S10" s="36">
        <f t="shared" si="0"/>
        <v>0</v>
      </c>
    </row>
    <row r="11" spans="1:21" x14ac:dyDescent="0.3">
      <c r="S11" s="36">
        <f t="shared" si="0"/>
        <v>0</v>
      </c>
    </row>
    <row r="12" spans="1:21" x14ac:dyDescent="0.3">
      <c r="S12" s="36">
        <f t="shared" si="0"/>
        <v>0</v>
      </c>
    </row>
    <row r="13" spans="1:21" x14ac:dyDescent="0.3">
      <c r="S13" s="36">
        <f t="shared" si="0"/>
        <v>0</v>
      </c>
    </row>
    <row r="14" spans="1:21" x14ac:dyDescent="0.3">
      <c r="S14" s="36">
        <f t="shared" si="0"/>
        <v>0</v>
      </c>
    </row>
    <row r="15" spans="1:21" x14ac:dyDescent="0.3">
      <c r="S15" s="36">
        <f t="shared" si="0"/>
        <v>0</v>
      </c>
    </row>
    <row r="16" spans="1:21" x14ac:dyDescent="0.3">
      <c r="S16" s="36">
        <f t="shared" si="0"/>
        <v>0</v>
      </c>
    </row>
    <row r="17" spans="19:19" x14ac:dyDescent="0.3">
      <c r="S17" s="36">
        <f t="shared" si="0"/>
        <v>0</v>
      </c>
    </row>
    <row r="18" spans="19:19" x14ac:dyDescent="0.3">
      <c r="S18" s="36">
        <f t="shared" si="0"/>
        <v>0</v>
      </c>
    </row>
    <row r="19" spans="19:19" x14ac:dyDescent="0.3">
      <c r="S19" s="36">
        <f t="shared" si="0"/>
        <v>0</v>
      </c>
    </row>
    <row r="20" spans="19:19" x14ac:dyDescent="0.3">
      <c r="S20" s="36">
        <f t="shared" si="0"/>
        <v>0</v>
      </c>
    </row>
    <row r="21" spans="19:19" x14ac:dyDescent="0.3">
      <c r="S21" s="36">
        <f t="shared" si="0"/>
        <v>0</v>
      </c>
    </row>
    <row r="22" spans="19:19" x14ac:dyDescent="0.3">
      <c r="S22" s="36">
        <f t="shared" si="0"/>
        <v>0</v>
      </c>
    </row>
    <row r="23" spans="19:19" x14ac:dyDescent="0.3">
      <c r="S23" s="36">
        <f t="shared" si="0"/>
        <v>0</v>
      </c>
    </row>
    <row r="24" spans="19:19" x14ac:dyDescent="0.3">
      <c r="S24" s="36">
        <f t="shared" si="0"/>
        <v>0</v>
      </c>
    </row>
    <row r="25" spans="19:19" x14ac:dyDescent="0.3">
      <c r="S25" s="36">
        <f t="shared" si="0"/>
        <v>0</v>
      </c>
    </row>
    <row r="26" spans="19:19" x14ac:dyDescent="0.3">
      <c r="S26" s="36">
        <f t="shared" si="0"/>
        <v>0</v>
      </c>
    </row>
    <row r="27" spans="19:19" x14ac:dyDescent="0.3">
      <c r="S27" s="36">
        <f t="shared" si="0"/>
        <v>0</v>
      </c>
    </row>
    <row r="28" spans="19:19" x14ac:dyDescent="0.3">
      <c r="S28" s="36">
        <f t="shared" si="0"/>
        <v>0</v>
      </c>
    </row>
    <row r="29" spans="19:19" x14ac:dyDescent="0.3">
      <c r="S29" s="36">
        <f t="shared" si="0"/>
        <v>0</v>
      </c>
    </row>
    <row r="30" spans="19:19" x14ac:dyDescent="0.3">
      <c r="S30" s="36">
        <f t="shared" si="0"/>
        <v>0</v>
      </c>
    </row>
    <row r="31" spans="19:19" x14ac:dyDescent="0.3">
      <c r="S31" s="36">
        <f t="shared" si="0"/>
        <v>0</v>
      </c>
    </row>
    <row r="32" spans="19:19" x14ac:dyDescent="0.3">
      <c r="S32" s="36">
        <f t="shared" si="0"/>
        <v>0</v>
      </c>
    </row>
    <row r="33" spans="19:19" x14ac:dyDescent="0.3">
      <c r="S33" s="36">
        <f t="shared" si="0"/>
        <v>0</v>
      </c>
    </row>
    <row r="34" spans="19:19" x14ac:dyDescent="0.3">
      <c r="S34" s="36">
        <f t="shared" si="0"/>
        <v>0</v>
      </c>
    </row>
    <row r="35" spans="19:19" x14ac:dyDescent="0.3">
      <c r="S35" s="36">
        <f t="shared" si="0"/>
        <v>0</v>
      </c>
    </row>
    <row r="36" spans="19:19" x14ac:dyDescent="0.3">
      <c r="S36" s="36">
        <f t="shared" si="0"/>
        <v>0</v>
      </c>
    </row>
    <row r="37" spans="19:19" x14ac:dyDescent="0.3">
      <c r="S37" s="36">
        <f t="shared" si="0"/>
        <v>0</v>
      </c>
    </row>
    <row r="38" spans="19:19" x14ac:dyDescent="0.3">
      <c r="S38" s="36">
        <f t="shared" si="0"/>
        <v>0</v>
      </c>
    </row>
    <row r="39" spans="19:19" x14ac:dyDescent="0.3">
      <c r="S39" s="36">
        <f t="shared" si="0"/>
        <v>0</v>
      </c>
    </row>
    <row r="40" spans="19:19" x14ac:dyDescent="0.3">
      <c r="S40" s="36">
        <f t="shared" si="0"/>
        <v>0</v>
      </c>
    </row>
    <row r="41" spans="19:19" x14ac:dyDescent="0.3">
      <c r="S41" s="36">
        <f t="shared" si="0"/>
        <v>0</v>
      </c>
    </row>
    <row r="42" spans="19:19" x14ac:dyDescent="0.3">
      <c r="S42" s="36">
        <f t="shared" si="0"/>
        <v>0</v>
      </c>
    </row>
    <row r="43" spans="19:19" x14ac:dyDescent="0.3">
      <c r="S43" s="36">
        <f t="shared" si="0"/>
        <v>0</v>
      </c>
    </row>
    <row r="44" spans="19:19" x14ac:dyDescent="0.3">
      <c r="S44" s="36">
        <f t="shared" si="0"/>
        <v>0</v>
      </c>
    </row>
    <row r="45" spans="19:19" x14ac:dyDescent="0.3">
      <c r="S45" s="36">
        <f t="shared" si="0"/>
        <v>0</v>
      </c>
    </row>
    <row r="46" spans="19:19" x14ac:dyDescent="0.3">
      <c r="S46" s="36">
        <f t="shared" si="0"/>
        <v>0</v>
      </c>
    </row>
    <row r="47" spans="19:19" x14ac:dyDescent="0.3">
      <c r="S47" s="36">
        <f t="shared" si="0"/>
        <v>0</v>
      </c>
    </row>
    <row r="48" spans="19:19" x14ac:dyDescent="0.3">
      <c r="S48" s="36">
        <f t="shared" si="0"/>
        <v>0</v>
      </c>
    </row>
    <row r="49" spans="19:19" x14ac:dyDescent="0.3">
      <c r="S49" s="36">
        <f t="shared" si="0"/>
        <v>0</v>
      </c>
    </row>
    <row r="50" spans="19:19" x14ac:dyDescent="0.3">
      <c r="S50" s="36">
        <f t="shared" si="0"/>
        <v>0</v>
      </c>
    </row>
    <row r="51" spans="19:19" x14ac:dyDescent="0.3">
      <c r="S51" s="36">
        <f t="shared" si="0"/>
        <v>0</v>
      </c>
    </row>
    <row r="52" spans="19:19" x14ac:dyDescent="0.3">
      <c r="S52" s="36">
        <f t="shared" si="0"/>
        <v>0</v>
      </c>
    </row>
    <row r="53" spans="19:19" x14ac:dyDescent="0.3">
      <c r="S53" s="36">
        <f t="shared" si="0"/>
        <v>0</v>
      </c>
    </row>
    <row r="54" spans="19:19" x14ac:dyDescent="0.3">
      <c r="S54" s="36">
        <f t="shared" si="0"/>
        <v>0</v>
      </c>
    </row>
    <row r="55" spans="19:19" x14ac:dyDescent="0.3">
      <c r="S55" s="36">
        <f t="shared" si="0"/>
        <v>0</v>
      </c>
    </row>
    <row r="56" spans="19:19" x14ac:dyDescent="0.3">
      <c r="S56" s="36">
        <f t="shared" si="0"/>
        <v>0</v>
      </c>
    </row>
    <row r="57" spans="19:19" x14ac:dyDescent="0.3">
      <c r="S57" s="36">
        <f t="shared" si="0"/>
        <v>0</v>
      </c>
    </row>
    <row r="58" spans="19:19" x14ac:dyDescent="0.3">
      <c r="S58" s="36">
        <f t="shared" si="0"/>
        <v>0</v>
      </c>
    </row>
    <row r="59" spans="19:19" x14ac:dyDescent="0.3">
      <c r="S59" s="36">
        <f t="shared" si="0"/>
        <v>0</v>
      </c>
    </row>
    <row r="60" spans="19:19" x14ac:dyDescent="0.3">
      <c r="S60" s="36">
        <f t="shared" si="0"/>
        <v>0</v>
      </c>
    </row>
    <row r="61" spans="19:19" x14ac:dyDescent="0.3">
      <c r="S61" s="36">
        <f t="shared" si="0"/>
        <v>0</v>
      </c>
    </row>
    <row r="62" spans="19:19" x14ac:dyDescent="0.3">
      <c r="S62" s="36">
        <f t="shared" si="0"/>
        <v>0</v>
      </c>
    </row>
    <row r="63" spans="19:19" x14ac:dyDescent="0.3">
      <c r="S63" s="36">
        <f t="shared" si="0"/>
        <v>0</v>
      </c>
    </row>
    <row r="64" spans="19:19" x14ac:dyDescent="0.3">
      <c r="S64" s="36">
        <f t="shared" si="0"/>
        <v>0</v>
      </c>
    </row>
    <row r="65" spans="19:19" x14ac:dyDescent="0.3">
      <c r="S65" s="36">
        <f t="shared" si="0"/>
        <v>0</v>
      </c>
    </row>
    <row r="66" spans="19:19" x14ac:dyDescent="0.3">
      <c r="S66" s="36">
        <f t="shared" si="0"/>
        <v>0</v>
      </c>
    </row>
    <row r="67" spans="19:19" x14ac:dyDescent="0.3">
      <c r="S67" s="36">
        <f t="shared" ref="S67:S130" si="1">SUM(N67:R67)</f>
        <v>0</v>
      </c>
    </row>
    <row r="68" spans="19:19" x14ac:dyDescent="0.3">
      <c r="S68" s="36">
        <f t="shared" si="1"/>
        <v>0</v>
      </c>
    </row>
    <row r="69" spans="19:19" x14ac:dyDescent="0.3">
      <c r="S69" s="36">
        <f t="shared" si="1"/>
        <v>0</v>
      </c>
    </row>
    <row r="70" spans="19:19" x14ac:dyDescent="0.3">
      <c r="S70" s="36">
        <f t="shared" si="1"/>
        <v>0</v>
      </c>
    </row>
    <row r="71" spans="19:19" x14ac:dyDescent="0.3">
      <c r="S71" s="36">
        <f t="shared" si="1"/>
        <v>0</v>
      </c>
    </row>
    <row r="72" spans="19:19" x14ac:dyDescent="0.3">
      <c r="S72" s="36">
        <f t="shared" si="1"/>
        <v>0</v>
      </c>
    </row>
    <row r="73" spans="19:19" x14ac:dyDescent="0.3">
      <c r="S73" s="36">
        <f t="shared" si="1"/>
        <v>0</v>
      </c>
    </row>
    <row r="74" spans="19:19" x14ac:dyDescent="0.3">
      <c r="S74" s="36">
        <f t="shared" si="1"/>
        <v>0</v>
      </c>
    </row>
    <row r="75" spans="19:19" x14ac:dyDescent="0.3">
      <c r="S75" s="36">
        <f t="shared" si="1"/>
        <v>0</v>
      </c>
    </row>
    <row r="76" spans="19:19" x14ac:dyDescent="0.3">
      <c r="S76" s="36">
        <f t="shared" si="1"/>
        <v>0</v>
      </c>
    </row>
    <row r="77" spans="19:19" x14ac:dyDescent="0.3">
      <c r="S77" s="36">
        <f t="shared" si="1"/>
        <v>0</v>
      </c>
    </row>
    <row r="78" spans="19:19" x14ac:dyDescent="0.3">
      <c r="S78" s="36">
        <f t="shared" si="1"/>
        <v>0</v>
      </c>
    </row>
    <row r="79" spans="19:19" x14ac:dyDescent="0.3">
      <c r="S79" s="36">
        <f t="shared" si="1"/>
        <v>0</v>
      </c>
    </row>
    <row r="80" spans="19:19" x14ac:dyDescent="0.3">
      <c r="S80" s="36">
        <f t="shared" si="1"/>
        <v>0</v>
      </c>
    </row>
    <row r="81" spans="19:19" x14ac:dyDescent="0.3">
      <c r="S81" s="36">
        <f t="shared" si="1"/>
        <v>0</v>
      </c>
    </row>
    <row r="82" spans="19:19" x14ac:dyDescent="0.3">
      <c r="S82" s="36">
        <f t="shared" si="1"/>
        <v>0</v>
      </c>
    </row>
    <row r="83" spans="19:19" x14ac:dyDescent="0.3">
      <c r="S83" s="36">
        <f t="shared" si="1"/>
        <v>0</v>
      </c>
    </row>
    <row r="84" spans="19:19" x14ac:dyDescent="0.3">
      <c r="S84" s="36">
        <f t="shared" si="1"/>
        <v>0</v>
      </c>
    </row>
    <row r="85" spans="19:19" x14ac:dyDescent="0.3">
      <c r="S85" s="36">
        <f t="shared" si="1"/>
        <v>0</v>
      </c>
    </row>
    <row r="86" spans="19:19" x14ac:dyDescent="0.3">
      <c r="S86" s="36">
        <f t="shared" si="1"/>
        <v>0</v>
      </c>
    </row>
    <row r="87" spans="19:19" x14ac:dyDescent="0.3">
      <c r="S87" s="36">
        <f t="shared" si="1"/>
        <v>0</v>
      </c>
    </row>
    <row r="88" spans="19:19" x14ac:dyDescent="0.3">
      <c r="S88" s="36">
        <f t="shared" si="1"/>
        <v>0</v>
      </c>
    </row>
    <row r="89" spans="19:19" x14ac:dyDescent="0.3">
      <c r="S89" s="36">
        <f t="shared" si="1"/>
        <v>0</v>
      </c>
    </row>
    <row r="90" spans="19:19" x14ac:dyDescent="0.3">
      <c r="S90" s="36">
        <f t="shared" si="1"/>
        <v>0</v>
      </c>
    </row>
    <row r="91" spans="19:19" x14ac:dyDescent="0.3">
      <c r="S91" s="36">
        <f t="shared" si="1"/>
        <v>0</v>
      </c>
    </row>
    <row r="92" spans="19:19" x14ac:dyDescent="0.3">
      <c r="S92" s="36">
        <f t="shared" si="1"/>
        <v>0</v>
      </c>
    </row>
    <row r="93" spans="19:19" x14ac:dyDescent="0.3">
      <c r="S93" s="36">
        <f t="shared" si="1"/>
        <v>0</v>
      </c>
    </row>
    <row r="94" spans="19:19" x14ac:dyDescent="0.3">
      <c r="S94" s="36">
        <f t="shared" si="1"/>
        <v>0</v>
      </c>
    </row>
    <row r="95" spans="19:19" x14ac:dyDescent="0.3">
      <c r="S95" s="36">
        <f t="shared" si="1"/>
        <v>0</v>
      </c>
    </row>
    <row r="96" spans="19:19" x14ac:dyDescent="0.3">
      <c r="S96" s="36">
        <f t="shared" si="1"/>
        <v>0</v>
      </c>
    </row>
    <row r="97" spans="19:19" x14ac:dyDescent="0.3">
      <c r="S97" s="36">
        <f t="shared" si="1"/>
        <v>0</v>
      </c>
    </row>
    <row r="98" spans="19:19" x14ac:dyDescent="0.3">
      <c r="S98" s="36">
        <f t="shared" si="1"/>
        <v>0</v>
      </c>
    </row>
    <row r="99" spans="19:19" x14ac:dyDescent="0.3">
      <c r="S99" s="36">
        <f t="shared" si="1"/>
        <v>0</v>
      </c>
    </row>
    <row r="100" spans="19:19" x14ac:dyDescent="0.3">
      <c r="S100" s="36">
        <f t="shared" si="1"/>
        <v>0</v>
      </c>
    </row>
    <row r="101" spans="19:19" x14ac:dyDescent="0.3">
      <c r="S101" s="36">
        <f t="shared" si="1"/>
        <v>0</v>
      </c>
    </row>
    <row r="102" spans="19:19" x14ac:dyDescent="0.3">
      <c r="S102" s="36">
        <f t="shared" si="1"/>
        <v>0</v>
      </c>
    </row>
    <row r="103" spans="19:19" x14ac:dyDescent="0.3">
      <c r="S103" s="36">
        <f t="shared" si="1"/>
        <v>0</v>
      </c>
    </row>
    <row r="104" spans="19:19" x14ac:dyDescent="0.3">
      <c r="S104" s="36">
        <f t="shared" si="1"/>
        <v>0</v>
      </c>
    </row>
    <row r="105" spans="19:19" x14ac:dyDescent="0.3">
      <c r="S105" s="36">
        <f t="shared" si="1"/>
        <v>0</v>
      </c>
    </row>
    <row r="106" spans="19:19" x14ac:dyDescent="0.3">
      <c r="S106" s="36">
        <f t="shared" si="1"/>
        <v>0</v>
      </c>
    </row>
    <row r="107" spans="19:19" x14ac:dyDescent="0.3">
      <c r="S107" s="36">
        <f t="shared" si="1"/>
        <v>0</v>
      </c>
    </row>
    <row r="108" spans="19:19" x14ac:dyDescent="0.3">
      <c r="S108" s="36">
        <f t="shared" si="1"/>
        <v>0</v>
      </c>
    </row>
    <row r="109" spans="19:19" x14ac:dyDescent="0.3">
      <c r="S109" s="36">
        <f t="shared" si="1"/>
        <v>0</v>
      </c>
    </row>
    <row r="110" spans="19:19" x14ac:dyDescent="0.3">
      <c r="S110" s="36">
        <f t="shared" si="1"/>
        <v>0</v>
      </c>
    </row>
    <row r="111" spans="19:19" x14ac:dyDescent="0.3">
      <c r="S111" s="36">
        <f t="shared" si="1"/>
        <v>0</v>
      </c>
    </row>
    <row r="112" spans="19:19" x14ac:dyDescent="0.3">
      <c r="S112" s="36">
        <f t="shared" si="1"/>
        <v>0</v>
      </c>
    </row>
    <row r="113" spans="19:19" x14ac:dyDescent="0.3">
      <c r="S113" s="36">
        <f t="shared" si="1"/>
        <v>0</v>
      </c>
    </row>
    <row r="114" spans="19:19" x14ac:dyDescent="0.3">
      <c r="S114" s="36">
        <f t="shared" si="1"/>
        <v>0</v>
      </c>
    </row>
    <row r="115" spans="19:19" x14ac:dyDescent="0.3">
      <c r="S115" s="36">
        <f t="shared" si="1"/>
        <v>0</v>
      </c>
    </row>
    <row r="116" spans="19:19" x14ac:dyDescent="0.3">
      <c r="S116" s="36">
        <f t="shared" si="1"/>
        <v>0</v>
      </c>
    </row>
    <row r="117" spans="19:19" x14ac:dyDescent="0.3">
      <c r="S117" s="36">
        <f t="shared" si="1"/>
        <v>0</v>
      </c>
    </row>
    <row r="118" spans="19:19" x14ac:dyDescent="0.3">
      <c r="S118" s="36">
        <f t="shared" si="1"/>
        <v>0</v>
      </c>
    </row>
    <row r="119" spans="19:19" x14ac:dyDescent="0.3">
      <c r="S119" s="36">
        <f t="shared" si="1"/>
        <v>0</v>
      </c>
    </row>
    <row r="120" spans="19:19" x14ac:dyDescent="0.3">
      <c r="S120" s="36">
        <f t="shared" si="1"/>
        <v>0</v>
      </c>
    </row>
    <row r="121" spans="19:19" x14ac:dyDescent="0.3">
      <c r="S121" s="36">
        <f t="shared" si="1"/>
        <v>0</v>
      </c>
    </row>
    <row r="122" spans="19:19" x14ac:dyDescent="0.3">
      <c r="S122" s="36">
        <f t="shared" si="1"/>
        <v>0</v>
      </c>
    </row>
    <row r="123" spans="19:19" x14ac:dyDescent="0.3">
      <c r="S123" s="36">
        <f t="shared" si="1"/>
        <v>0</v>
      </c>
    </row>
    <row r="124" spans="19:19" x14ac:dyDescent="0.3">
      <c r="S124" s="36">
        <f t="shared" si="1"/>
        <v>0</v>
      </c>
    </row>
    <row r="125" spans="19:19" x14ac:dyDescent="0.3">
      <c r="S125" s="36">
        <f t="shared" si="1"/>
        <v>0</v>
      </c>
    </row>
    <row r="126" spans="19:19" x14ac:dyDescent="0.3">
      <c r="S126" s="36">
        <f t="shared" si="1"/>
        <v>0</v>
      </c>
    </row>
    <row r="127" spans="19:19" x14ac:dyDescent="0.3">
      <c r="S127" s="36">
        <f t="shared" si="1"/>
        <v>0</v>
      </c>
    </row>
    <row r="128" spans="19:19" x14ac:dyDescent="0.3">
      <c r="S128" s="36">
        <f t="shared" si="1"/>
        <v>0</v>
      </c>
    </row>
    <row r="129" spans="19:19" x14ac:dyDescent="0.3">
      <c r="S129" s="36">
        <f t="shared" si="1"/>
        <v>0</v>
      </c>
    </row>
    <row r="130" spans="19:19" x14ac:dyDescent="0.3">
      <c r="S130" s="36">
        <f t="shared" si="1"/>
        <v>0</v>
      </c>
    </row>
    <row r="131" spans="19:19" x14ac:dyDescent="0.3">
      <c r="S131" s="36">
        <f t="shared" ref="S131:S194" si="2">SUM(N131:R131)</f>
        <v>0</v>
      </c>
    </row>
    <row r="132" spans="19:19" x14ac:dyDescent="0.3">
      <c r="S132" s="36">
        <f t="shared" si="2"/>
        <v>0</v>
      </c>
    </row>
    <row r="133" spans="19:19" x14ac:dyDescent="0.3">
      <c r="S133" s="36">
        <f t="shared" si="2"/>
        <v>0</v>
      </c>
    </row>
    <row r="134" spans="19:19" x14ac:dyDescent="0.3">
      <c r="S134" s="36">
        <f t="shared" si="2"/>
        <v>0</v>
      </c>
    </row>
    <row r="135" spans="19:19" x14ac:dyDescent="0.3">
      <c r="S135" s="36">
        <f t="shared" si="2"/>
        <v>0</v>
      </c>
    </row>
    <row r="136" spans="19:19" x14ac:dyDescent="0.3">
      <c r="S136" s="36">
        <f t="shared" si="2"/>
        <v>0</v>
      </c>
    </row>
    <row r="137" spans="19:19" x14ac:dyDescent="0.3">
      <c r="S137" s="36">
        <f t="shared" si="2"/>
        <v>0</v>
      </c>
    </row>
    <row r="138" spans="19:19" x14ac:dyDescent="0.3">
      <c r="S138" s="36">
        <f t="shared" si="2"/>
        <v>0</v>
      </c>
    </row>
    <row r="139" spans="19:19" x14ac:dyDescent="0.3">
      <c r="S139" s="36">
        <f t="shared" si="2"/>
        <v>0</v>
      </c>
    </row>
    <row r="140" spans="19:19" x14ac:dyDescent="0.3">
      <c r="S140" s="36">
        <f t="shared" si="2"/>
        <v>0</v>
      </c>
    </row>
    <row r="141" spans="19:19" x14ac:dyDescent="0.3">
      <c r="S141" s="36">
        <f t="shared" si="2"/>
        <v>0</v>
      </c>
    </row>
    <row r="142" spans="19:19" x14ac:dyDescent="0.3">
      <c r="S142" s="36">
        <f t="shared" si="2"/>
        <v>0</v>
      </c>
    </row>
    <row r="143" spans="19:19" x14ac:dyDescent="0.3">
      <c r="S143" s="36">
        <f t="shared" si="2"/>
        <v>0</v>
      </c>
    </row>
    <row r="144" spans="19:19" x14ac:dyDescent="0.3">
      <c r="S144" s="36">
        <f t="shared" si="2"/>
        <v>0</v>
      </c>
    </row>
    <row r="145" spans="19:19" x14ac:dyDescent="0.3">
      <c r="S145" s="36">
        <f t="shared" si="2"/>
        <v>0</v>
      </c>
    </row>
    <row r="146" spans="19:19" x14ac:dyDescent="0.3">
      <c r="S146" s="36">
        <f t="shared" si="2"/>
        <v>0</v>
      </c>
    </row>
    <row r="147" spans="19:19" x14ac:dyDescent="0.3">
      <c r="S147" s="36">
        <f t="shared" si="2"/>
        <v>0</v>
      </c>
    </row>
    <row r="148" spans="19:19" x14ac:dyDescent="0.3">
      <c r="S148" s="36">
        <f t="shared" si="2"/>
        <v>0</v>
      </c>
    </row>
    <row r="149" spans="19:19" x14ac:dyDescent="0.3">
      <c r="S149" s="36">
        <f t="shared" si="2"/>
        <v>0</v>
      </c>
    </row>
    <row r="150" spans="19:19" x14ac:dyDescent="0.3">
      <c r="S150" s="36">
        <f t="shared" si="2"/>
        <v>0</v>
      </c>
    </row>
    <row r="151" spans="19:19" x14ac:dyDescent="0.3">
      <c r="S151" s="36">
        <f t="shared" si="2"/>
        <v>0</v>
      </c>
    </row>
    <row r="152" spans="19:19" x14ac:dyDescent="0.3">
      <c r="S152" s="36">
        <f t="shared" si="2"/>
        <v>0</v>
      </c>
    </row>
    <row r="153" spans="19:19" x14ac:dyDescent="0.3">
      <c r="S153" s="36">
        <f t="shared" si="2"/>
        <v>0</v>
      </c>
    </row>
    <row r="154" spans="19:19" x14ac:dyDescent="0.3">
      <c r="S154" s="36">
        <f t="shared" si="2"/>
        <v>0</v>
      </c>
    </row>
    <row r="155" spans="19:19" x14ac:dyDescent="0.3">
      <c r="S155" s="36">
        <f t="shared" si="2"/>
        <v>0</v>
      </c>
    </row>
    <row r="156" spans="19:19" x14ac:dyDescent="0.3">
      <c r="S156" s="36">
        <f t="shared" si="2"/>
        <v>0</v>
      </c>
    </row>
    <row r="157" spans="19:19" x14ac:dyDescent="0.3">
      <c r="S157" s="36">
        <f t="shared" si="2"/>
        <v>0</v>
      </c>
    </row>
    <row r="158" spans="19:19" x14ac:dyDescent="0.3">
      <c r="S158" s="36">
        <f t="shared" si="2"/>
        <v>0</v>
      </c>
    </row>
    <row r="159" spans="19:19" x14ac:dyDescent="0.3">
      <c r="S159" s="36">
        <f t="shared" si="2"/>
        <v>0</v>
      </c>
    </row>
    <row r="160" spans="19:19" x14ac:dyDescent="0.3">
      <c r="S160" s="36">
        <f t="shared" si="2"/>
        <v>0</v>
      </c>
    </row>
    <row r="161" spans="19:19" x14ac:dyDescent="0.3">
      <c r="S161" s="36">
        <f t="shared" si="2"/>
        <v>0</v>
      </c>
    </row>
    <row r="162" spans="19:19" x14ac:dyDescent="0.3">
      <c r="S162" s="36">
        <f t="shared" si="2"/>
        <v>0</v>
      </c>
    </row>
    <row r="163" spans="19:19" x14ac:dyDescent="0.3">
      <c r="S163" s="36">
        <f t="shared" si="2"/>
        <v>0</v>
      </c>
    </row>
    <row r="164" spans="19:19" x14ac:dyDescent="0.3">
      <c r="S164" s="36">
        <f t="shared" si="2"/>
        <v>0</v>
      </c>
    </row>
    <row r="165" spans="19:19" x14ac:dyDescent="0.3">
      <c r="S165" s="36">
        <f t="shared" si="2"/>
        <v>0</v>
      </c>
    </row>
    <row r="166" spans="19:19" x14ac:dyDescent="0.3">
      <c r="S166" s="36">
        <f t="shared" si="2"/>
        <v>0</v>
      </c>
    </row>
    <row r="167" spans="19:19" x14ac:dyDescent="0.3">
      <c r="S167" s="36">
        <f t="shared" si="2"/>
        <v>0</v>
      </c>
    </row>
    <row r="168" spans="19:19" x14ac:dyDescent="0.3">
      <c r="S168" s="36">
        <f t="shared" si="2"/>
        <v>0</v>
      </c>
    </row>
    <row r="169" spans="19:19" x14ac:dyDescent="0.3">
      <c r="S169" s="36">
        <f t="shared" si="2"/>
        <v>0</v>
      </c>
    </row>
    <row r="170" spans="19:19" x14ac:dyDescent="0.3">
      <c r="S170" s="36">
        <f t="shared" si="2"/>
        <v>0</v>
      </c>
    </row>
    <row r="171" spans="19:19" x14ac:dyDescent="0.3">
      <c r="S171" s="36">
        <f t="shared" si="2"/>
        <v>0</v>
      </c>
    </row>
    <row r="172" spans="19:19" x14ac:dyDescent="0.3">
      <c r="S172" s="36">
        <f t="shared" si="2"/>
        <v>0</v>
      </c>
    </row>
    <row r="173" spans="19:19" x14ac:dyDescent="0.3">
      <c r="S173" s="36">
        <f t="shared" si="2"/>
        <v>0</v>
      </c>
    </row>
    <row r="174" spans="19:19" x14ac:dyDescent="0.3">
      <c r="S174" s="36">
        <f t="shared" si="2"/>
        <v>0</v>
      </c>
    </row>
    <row r="175" spans="19:19" x14ac:dyDescent="0.3">
      <c r="S175" s="36">
        <f t="shared" si="2"/>
        <v>0</v>
      </c>
    </row>
    <row r="176" spans="19:19" x14ac:dyDescent="0.3">
      <c r="S176" s="36">
        <f t="shared" si="2"/>
        <v>0</v>
      </c>
    </row>
    <row r="177" spans="19:19" x14ac:dyDescent="0.3">
      <c r="S177" s="36">
        <f t="shared" si="2"/>
        <v>0</v>
      </c>
    </row>
    <row r="178" spans="19:19" x14ac:dyDescent="0.3">
      <c r="S178" s="36">
        <f t="shared" si="2"/>
        <v>0</v>
      </c>
    </row>
    <row r="179" spans="19:19" x14ac:dyDescent="0.3">
      <c r="S179" s="36">
        <f t="shared" si="2"/>
        <v>0</v>
      </c>
    </row>
    <row r="180" spans="19:19" x14ac:dyDescent="0.3">
      <c r="S180" s="36">
        <f t="shared" si="2"/>
        <v>0</v>
      </c>
    </row>
    <row r="181" spans="19:19" x14ac:dyDescent="0.3">
      <c r="S181" s="36">
        <f t="shared" si="2"/>
        <v>0</v>
      </c>
    </row>
    <row r="182" spans="19:19" x14ac:dyDescent="0.3">
      <c r="S182" s="36">
        <f t="shared" si="2"/>
        <v>0</v>
      </c>
    </row>
    <row r="183" spans="19:19" x14ac:dyDescent="0.3">
      <c r="S183" s="36">
        <f t="shared" si="2"/>
        <v>0</v>
      </c>
    </row>
    <row r="184" spans="19:19" x14ac:dyDescent="0.3">
      <c r="S184" s="36">
        <f t="shared" si="2"/>
        <v>0</v>
      </c>
    </row>
    <row r="185" spans="19:19" x14ac:dyDescent="0.3">
      <c r="S185" s="36">
        <f t="shared" si="2"/>
        <v>0</v>
      </c>
    </row>
    <row r="186" spans="19:19" x14ac:dyDescent="0.3">
      <c r="S186" s="36">
        <f t="shared" si="2"/>
        <v>0</v>
      </c>
    </row>
    <row r="187" spans="19:19" x14ac:dyDescent="0.3">
      <c r="S187" s="36">
        <f t="shared" si="2"/>
        <v>0</v>
      </c>
    </row>
    <row r="188" spans="19:19" x14ac:dyDescent="0.3">
      <c r="S188" s="36">
        <f t="shared" si="2"/>
        <v>0</v>
      </c>
    </row>
    <row r="189" spans="19:19" x14ac:dyDescent="0.3">
      <c r="S189" s="36">
        <f t="shared" si="2"/>
        <v>0</v>
      </c>
    </row>
    <row r="190" spans="19:19" x14ac:dyDescent="0.3">
      <c r="S190" s="36">
        <f t="shared" si="2"/>
        <v>0</v>
      </c>
    </row>
    <row r="191" spans="19:19" x14ac:dyDescent="0.3">
      <c r="S191" s="36">
        <f t="shared" si="2"/>
        <v>0</v>
      </c>
    </row>
    <row r="192" spans="19:19" x14ac:dyDescent="0.3">
      <c r="S192" s="36">
        <f t="shared" si="2"/>
        <v>0</v>
      </c>
    </row>
    <row r="193" spans="19:19" x14ac:dyDescent="0.3">
      <c r="S193" s="36">
        <f t="shared" si="2"/>
        <v>0</v>
      </c>
    </row>
    <row r="194" spans="19:19" x14ac:dyDescent="0.3">
      <c r="S194" s="36">
        <f t="shared" si="2"/>
        <v>0</v>
      </c>
    </row>
    <row r="195" spans="19:19" x14ac:dyDescent="0.3">
      <c r="S195" s="36">
        <f t="shared" ref="S195:S258" si="3">SUM(N195:R195)</f>
        <v>0</v>
      </c>
    </row>
    <row r="196" spans="19:19" x14ac:dyDescent="0.3">
      <c r="S196" s="36">
        <f t="shared" si="3"/>
        <v>0</v>
      </c>
    </row>
    <row r="197" spans="19:19" x14ac:dyDescent="0.3">
      <c r="S197" s="36">
        <f t="shared" si="3"/>
        <v>0</v>
      </c>
    </row>
    <row r="198" spans="19:19" x14ac:dyDescent="0.3">
      <c r="S198" s="36">
        <f t="shared" si="3"/>
        <v>0</v>
      </c>
    </row>
    <row r="199" spans="19:19" x14ac:dyDescent="0.3">
      <c r="S199" s="36">
        <f t="shared" si="3"/>
        <v>0</v>
      </c>
    </row>
    <row r="200" spans="19:19" x14ac:dyDescent="0.3">
      <c r="S200" s="36">
        <f t="shared" si="3"/>
        <v>0</v>
      </c>
    </row>
    <row r="201" spans="19:19" x14ac:dyDescent="0.3">
      <c r="S201" s="36">
        <f t="shared" si="3"/>
        <v>0</v>
      </c>
    </row>
    <row r="202" spans="19:19" x14ac:dyDescent="0.3">
      <c r="S202" s="36">
        <f t="shared" si="3"/>
        <v>0</v>
      </c>
    </row>
    <row r="203" spans="19:19" x14ac:dyDescent="0.3">
      <c r="S203" s="36">
        <f t="shared" si="3"/>
        <v>0</v>
      </c>
    </row>
    <row r="204" spans="19:19" x14ac:dyDescent="0.3">
      <c r="S204" s="36">
        <f t="shared" si="3"/>
        <v>0</v>
      </c>
    </row>
    <row r="205" spans="19:19" x14ac:dyDescent="0.3">
      <c r="S205" s="36">
        <f t="shared" si="3"/>
        <v>0</v>
      </c>
    </row>
    <row r="206" spans="19:19" x14ac:dyDescent="0.3">
      <c r="S206" s="36">
        <f t="shared" si="3"/>
        <v>0</v>
      </c>
    </row>
    <row r="207" spans="19:19" x14ac:dyDescent="0.3">
      <c r="S207" s="36">
        <f t="shared" si="3"/>
        <v>0</v>
      </c>
    </row>
    <row r="208" spans="19:19" x14ac:dyDescent="0.3">
      <c r="S208" s="36">
        <f t="shared" si="3"/>
        <v>0</v>
      </c>
    </row>
    <row r="209" spans="19:19" x14ac:dyDescent="0.3">
      <c r="S209" s="36">
        <f t="shared" si="3"/>
        <v>0</v>
      </c>
    </row>
    <row r="210" spans="19:19" x14ac:dyDescent="0.3">
      <c r="S210" s="36">
        <f t="shared" si="3"/>
        <v>0</v>
      </c>
    </row>
    <row r="211" spans="19:19" x14ac:dyDescent="0.3">
      <c r="S211" s="36">
        <f t="shared" si="3"/>
        <v>0</v>
      </c>
    </row>
    <row r="212" spans="19:19" x14ac:dyDescent="0.3">
      <c r="S212" s="36">
        <f t="shared" si="3"/>
        <v>0</v>
      </c>
    </row>
    <row r="213" spans="19:19" x14ac:dyDescent="0.3">
      <c r="S213" s="36">
        <f t="shared" si="3"/>
        <v>0</v>
      </c>
    </row>
    <row r="214" spans="19:19" x14ac:dyDescent="0.3">
      <c r="S214" s="36">
        <f t="shared" si="3"/>
        <v>0</v>
      </c>
    </row>
    <row r="215" spans="19:19" x14ac:dyDescent="0.3">
      <c r="S215" s="36">
        <f t="shared" si="3"/>
        <v>0</v>
      </c>
    </row>
    <row r="216" spans="19:19" x14ac:dyDescent="0.3">
      <c r="S216" s="36">
        <f t="shared" si="3"/>
        <v>0</v>
      </c>
    </row>
    <row r="217" spans="19:19" x14ac:dyDescent="0.3">
      <c r="S217" s="36">
        <f t="shared" si="3"/>
        <v>0</v>
      </c>
    </row>
    <row r="218" spans="19:19" x14ac:dyDescent="0.3">
      <c r="S218" s="36">
        <f t="shared" si="3"/>
        <v>0</v>
      </c>
    </row>
    <row r="219" spans="19:19" x14ac:dyDescent="0.3">
      <c r="S219" s="36">
        <f t="shared" si="3"/>
        <v>0</v>
      </c>
    </row>
    <row r="220" spans="19:19" x14ac:dyDescent="0.3">
      <c r="S220" s="36">
        <f t="shared" si="3"/>
        <v>0</v>
      </c>
    </row>
    <row r="221" spans="19:19" x14ac:dyDescent="0.3">
      <c r="S221" s="36">
        <f t="shared" si="3"/>
        <v>0</v>
      </c>
    </row>
    <row r="222" spans="19:19" x14ac:dyDescent="0.3">
      <c r="S222" s="36">
        <f t="shared" si="3"/>
        <v>0</v>
      </c>
    </row>
    <row r="223" spans="19:19" x14ac:dyDescent="0.3">
      <c r="S223" s="36">
        <f t="shared" si="3"/>
        <v>0</v>
      </c>
    </row>
    <row r="224" spans="19:19" x14ac:dyDescent="0.3">
      <c r="S224" s="36">
        <f t="shared" si="3"/>
        <v>0</v>
      </c>
    </row>
    <row r="225" spans="19:19" x14ac:dyDescent="0.3">
      <c r="S225" s="36">
        <f t="shared" si="3"/>
        <v>0</v>
      </c>
    </row>
    <row r="226" spans="19:19" x14ac:dyDescent="0.3">
      <c r="S226" s="36">
        <f t="shared" si="3"/>
        <v>0</v>
      </c>
    </row>
    <row r="227" spans="19:19" x14ac:dyDescent="0.3">
      <c r="S227" s="36">
        <f t="shared" si="3"/>
        <v>0</v>
      </c>
    </row>
    <row r="228" spans="19:19" x14ac:dyDescent="0.3">
      <c r="S228" s="36">
        <f t="shared" si="3"/>
        <v>0</v>
      </c>
    </row>
    <row r="229" spans="19:19" x14ac:dyDescent="0.3">
      <c r="S229" s="36">
        <f t="shared" si="3"/>
        <v>0</v>
      </c>
    </row>
    <row r="230" spans="19:19" x14ac:dyDescent="0.3">
      <c r="S230" s="36">
        <f t="shared" si="3"/>
        <v>0</v>
      </c>
    </row>
    <row r="231" spans="19:19" x14ac:dyDescent="0.3">
      <c r="S231" s="36">
        <f t="shared" si="3"/>
        <v>0</v>
      </c>
    </row>
    <row r="232" spans="19:19" x14ac:dyDescent="0.3">
      <c r="S232" s="36">
        <f t="shared" si="3"/>
        <v>0</v>
      </c>
    </row>
    <row r="233" spans="19:19" x14ac:dyDescent="0.3">
      <c r="S233" s="36">
        <f t="shared" si="3"/>
        <v>0</v>
      </c>
    </row>
    <row r="234" spans="19:19" x14ac:dyDescent="0.3">
      <c r="S234" s="36">
        <f t="shared" si="3"/>
        <v>0</v>
      </c>
    </row>
    <row r="235" spans="19:19" x14ac:dyDescent="0.3">
      <c r="S235" s="36">
        <f t="shared" si="3"/>
        <v>0</v>
      </c>
    </row>
    <row r="236" spans="19:19" x14ac:dyDescent="0.3">
      <c r="S236" s="36">
        <f t="shared" si="3"/>
        <v>0</v>
      </c>
    </row>
    <row r="237" spans="19:19" x14ac:dyDescent="0.3">
      <c r="S237" s="36">
        <f t="shared" si="3"/>
        <v>0</v>
      </c>
    </row>
    <row r="238" spans="19:19" x14ac:dyDescent="0.3">
      <c r="S238" s="36">
        <f t="shared" si="3"/>
        <v>0</v>
      </c>
    </row>
    <row r="239" spans="19:19" x14ac:dyDescent="0.3">
      <c r="S239" s="36">
        <f t="shared" si="3"/>
        <v>0</v>
      </c>
    </row>
    <row r="240" spans="19:19" x14ac:dyDescent="0.3">
      <c r="S240" s="36">
        <f t="shared" si="3"/>
        <v>0</v>
      </c>
    </row>
    <row r="241" spans="19:19" x14ac:dyDescent="0.3">
      <c r="S241" s="36">
        <f t="shared" si="3"/>
        <v>0</v>
      </c>
    </row>
    <row r="242" spans="19:19" x14ac:dyDescent="0.3">
      <c r="S242" s="36">
        <f t="shared" si="3"/>
        <v>0</v>
      </c>
    </row>
    <row r="243" spans="19:19" x14ac:dyDescent="0.3">
      <c r="S243" s="36">
        <f t="shared" si="3"/>
        <v>0</v>
      </c>
    </row>
    <row r="244" spans="19:19" x14ac:dyDescent="0.3">
      <c r="S244" s="36">
        <f t="shared" si="3"/>
        <v>0</v>
      </c>
    </row>
    <row r="245" spans="19:19" x14ac:dyDescent="0.3">
      <c r="S245" s="36">
        <f t="shared" si="3"/>
        <v>0</v>
      </c>
    </row>
    <row r="246" spans="19:19" x14ac:dyDescent="0.3">
      <c r="S246" s="36">
        <f t="shared" si="3"/>
        <v>0</v>
      </c>
    </row>
    <row r="247" spans="19:19" x14ac:dyDescent="0.3">
      <c r="S247" s="36">
        <f t="shared" si="3"/>
        <v>0</v>
      </c>
    </row>
    <row r="248" spans="19:19" x14ac:dyDescent="0.3">
      <c r="S248" s="36">
        <f t="shared" si="3"/>
        <v>0</v>
      </c>
    </row>
    <row r="249" spans="19:19" x14ac:dyDescent="0.3">
      <c r="S249" s="36">
        <f t="shared" si="3"/>
        <v>0</v>
      </c>
    </row>
    <row r="250" spans="19:19" x14ac:dyDescent="0.3">
      <c r="S250" s="36">
        <f t="shared" si="3"/>
        <v>0</v>
      </c>
    </row>
    <row r="251" spans="19:19" x14ac:dyDescent="0.3">
      <c r="S251" s="36">
        <f t="shared" si="3"/>
        <v>0</v>
      </c>
    </row>
    <row r="252" spans="19:19" x14ac:dyDescent="0.3">
      <c r="S252" s="36">
        <f t="shared" si="3"/>
        <v>0</v>
      </c>
    </row>
    <row r="253" spans="19:19" x14ac:dyDescent="0.3">
      <c r="S253" s="36">
        <f t="shared" si="3"/>
        <v>0</v>
      </c>
    </row>
    <row r="254" spans="19:19" x14ac:dyDescent="0.3">
      <c r="S254" s="36">
        <f t="shared" si="3"/>
        <v>0</v>
      </c>
    </row>
    <row r="255" spans="19:19" x14ac:dyDescent="0.3">
      <c r="S255" s="36">
        <f t="shared" si="3"/>
        <v>0</v>
      </c>
    </row>
    <row r="256" spans="19:19" x14ac:dyDescent="0.3">
      <c r="S256" s="36">
        <f t="shared" si="3"/>
        <v>0</v>
      </c>
    </row>
    <row r="257" spans="19:19" x14ac:dyDescent="0.3">
      <c r="S257" s="36">
        <f t="shared" si="3"/>
        <v>0</v>
      </c>
    </row>
    <row r="258" spans="19:19" x14ac:dyDescent="0.3">
      <c r="S258" s="36">
        <f t="shared" si="3"/>
        <v>0</v>
      </c>
    </row>
    <row r="259" spans="19:19" x14ac:dyDescent="0.3">
      <c r="S259" s="36">
        <f t="shared" ref="S259:S322" si="4">SUM(N259:R259)</f>
        <v>0</v>
      </c>
    </row>
    <row r="260" spans="19:19" x14ac:dyDescent="0.3">
      <c r="S260" s="36">
        <f t="shared" si="4"/>
        <v>0</v>
      </c>
    </row>
    <row r="261" spans="19:19" x14ac:dyDescent="0.3">
      <c r="S261" s="36">
        <f t="shared" si="4"/>
        <v>0</v>
      </c>
    </row>
    <row r="262" spans="19:19" x14ac:dyDescent="0.3">
      <c r="S262" s="36">
        <f t="shared" si="4"/>
        <v>0</v>
      </c>
    </row>
    <row r="263" spans="19:19" x14ac:dyDescent="0.3">
      <c r="S263" s="36">
        <f t="shared" si="4"/>
        <v>0</v>
      </c>
    </row>
    <row r="264" spans="19:19" x14ac:dyDescent="0.3">
      <c r="S264" s="36">
        <f t="shared" si="4"/>
        <v>0</v>
      </c>
    </row>
    <row r="265" spans="19:19" x14ac:dyDescent="0.3">
      <c r="S265" s="36">
        <f t="shared" si="4"/>
        <v>0</v>
      </c>
    </row>
    <row r="266" spans="19:19" x14ac:dyDescent="0.3">
      <c r="S266" s="36">
        <f t="shared" si="4"/>
        <v>0</v>
      </c>
    </row>
    <row r="267" spans="19:19" x14ac:dyDescent="0.3">
      <c r="S267" s="36">
        <f t="shared" si="4"/>
        <v>0</v>
      </c>
    </row>
    <row r="268" spans="19:19" x14ac:dyDescent="0.3">
      <c r="S268" s="36">
        <f t="shared" si="4"/>
        <v>0</v>
      </c>
    </row>
    <row r="269" spans="19:19" x14ac:dyDescent="0.3">
      <c r="S269" s="36">
        <f t="shared" si="4"/>
        <v>0</v>
      </c>
    </row>
    <row r="270" spans="19:19" x14ac:dyDescent="0.3">
      <c r="S270" s="36">
        <f t="shared" si="4"/>
        <v>0</v>
      </c>
    </row>
    <row r="271" spans="19:19" x14ac:dyDescent="0.3">
      <c r="S271" s="36">
        <f t="shared" si="4"/>
        <v>0</v>
      </c>
    </row>
    <row r="272" spans="19:19" x14ac:dyDescent="0.3">
      <c r="S272" s="36">
        <f t="shared" si="4"/>
        <v>0</v>
      </c>
    </row>
    <row r="273" spans="19:19" x14ac:dyDescent="0.3">
      <c r="S273" s="36">
        <f t="shared" si="4"/>
        <v>0</v>
      </c>
    </row>
    <row r="274" spans="19:19" x14ac:dyDescent="0.3">
      <c r="S274" s="36">
        <f t="shared" si="4"/>
        <v>0</v>
      </c>
    </row>
    <row r="275" spans="19:19" x14ac:dyDescent="0.3">
      <c r="S275" s="36">
        <f t="shared" si="4"/>
        <v>0</v>
      </c>
    </row>
    <row r="276" spans="19:19" x14ac:dyDescent="0.3">
      <c r="S276" s="36">
        <f t="shared" si="4"/>
        <v>0</v>
      </c>
    </row>
    <row r="277" spans="19:19" x14ac:dyDescent="0.3">
      <c r="S277" s="36">
        <f t="shared" si="4"/>
        <v>0</v>
      </c>
    </row>
    <row r="278" spans="19:19" x14ac:dyDescent="0.3">
      <c r="S278" s="36">
        <f t="shared" si="4"/>
        <v>0</v>
      </c>
    </row>
    <row r="279" spans="19:19" x14ac:dyDescent="0.3">
      <c r="S279" s="36">
        <f t="shared" si="4"/>
        <v>0</v>
      </c>
    </row>
    <row r="280" spans="19:19" x14ac:dyDescent="0.3">
      <c r="S280" s="36">
        <f t="shared" si="4"/>
        <v>0</v>
      </c>
    </row>
    <row r="281" spans="19:19" x14ac:dyDescent="0.3">
      <c r="S281" s="36">
        <f t="shared" si="4"/>
        <v>0</v>
      </c>
    </row>
    <row r="282" spans="19:19" x14ac:dyDescent="0.3">
      <c r="S282" s="36">
        <f t="shared" si="4"/>
        <v>0</v>
      </c>
    </row>
    <row r="283" spans="19:19" x14ac:dyDescent="0.3">
      <c r="S283" s="36">
        <f t="shared" si="4"/>
        <v>0</v>
      </c>
    </row>
    <row r="284" spans="19:19" x14ac:dyDescent="0.3">
      <c r="S284" s="36">
        <f t="shared" si="4"/>
        <v>0</v>
      </c>
    </row>
    <row r="285" spans="19:19" x14ac:dyDescent="0.3">
      <c r="S285" s="36">
        <f t="shared" si="4"/>
        <v>0</v>
      </c>
    </row>
    <row r="286" spans="19:19" x14ac:dyDescent="0.3">
      <c r="S286" s="36">
        <f t="shared" si="4"/>
        <v>0</v>
      </c>
    </row>
    <row r="287" spans="19:19" x14ac:dyDescent="0.3">
      <c r="S287" s="36">
        <f t="shared" si="4"/>
        <v>0</v>
      </c>
    </row>
    <row r="288" spans="19:19" x14ac:dyDescent="0.3">
      <c r="S288" s="36">
        <f t="shared" si="4"/>
        <v>0</v>
      </c>
    </row>
    <row r="289" spans="19:19" x14ac:dyDescent="0.3">
      <c r="S289" s="36">
        <f t="shared" si="4"/>
        <v>0</v>
      </c>
    </row>
    <row r="290" spans="19:19" x14ac:dyDescent="0.3">
      <c r="S290" s="36">
        <f t="shared" si="4"/>
        <v>0</v>
      </c>
    </row>
    <row r="291" spans="19:19" x14ac:dyDescent="0.3">
      <c r="S291" s="36">
        <f t="shared" si="4"/>
        <v>0</v>
      </c>
    </row>
    <row r="292" spans="19:19" x14ac:dyDescent="0.3">
      <c r="S292" s="36">
        <f t="shared" si="4"/>
        <v>0</v>
      </c>
    </row>
    <row r="293" spans="19:19" x14ac:dyDescent="0.3">
      <c r="S293" s="36">
        <f t="shared" si="4"/>
        <v>0</v>
      </c>
    </row>
    <row r="294" spans="19:19" x14ac:dyDescent="0.3">
      <c r="S294" s="36">
        <f t="shared" si="4"/>
        <v>0</v>
      </c>
    </row>
    <row r="295" spans="19:19" x14ac:dyDescent="0.3">
      <c r="S295" s="36">
        <f t="shared" si="4"/>
        <v>0</v>
      </c>
    </row>
    <row r="296" spans="19:19" x14ac:dyDescent="0.3">
      <c r="S296" s="36">
        <f t="shared" si="4"/>
        <v>0</v>
      </c>
    </row>
    <row r="297" spans="19:19" x14ac:dyDescent="0.3">
      <c r="S297" s="36">
        <f t="shared" si="4"/>
        <v>0</v>
      </c>
    </row>
    <row r="298" spans="19:19" x14ac:dyDescent="0.3">
      <c r="S298" s="36">
        <f t="shared" si="4"/>
        <v>0</v>
      </c>
    </row>
    <row r="299" spans="19:19" x14ac:dyDescent="0.3">
      <c r="S299" s="36">
        <f t="shared" si="4"/>
        <v>0</v>
      </c>
    </row>
    <row r="300" spans="19:19" x14ac:dyDescent="0.3">
      <c r="S300" s="36">
        <f t="shared" si="4"/>
        <v>0</v>
      </c>
    </row>
    <row r="301" spans="19:19" x14ac:dyDescent="0.3">
      <c r="S301" s="36">
        <f t="shared" si="4"/>
        <v>0</v>
      </c>
    </row>
    <row r="302" spans="19:19" x14ac:dyDescent="0.3">
      <c r="S302" s="36">
        <f t="shared" si="4"/>
        <v>0</v>
      </c>
    </row>
    <row r="303" spans="19:19" x14ac:dyDescent="0.3">
      <c r="S303" s="36">
        <f t="shared" si="4"/>
        <v>0</v>
      </c>
    </row>
    <row r="304" spans="19:19" x14ac:dyDescent="0.3">
      <c r="S304" s="36">
        <f t="shared" si="4"/>
        <v>0</v>
      </c>
    </row>
    <row r="305" spans="19:19" x14ac:dyDescent="0.3">
      <c r="S305" s="36">
        <f t="shared" si="4"/>
        <v>0</v>
      </c>
    </row>
    <row r="306" spans="19:19" x14ac:dyDescent="0.3">
      <c r="S306" s="36">
        <f t="shared" si="4"/>
        <v>0</v>
      </c>
    </row>
    <row r="307" spans="19:19" x14ac:dyDescent="0.3">
      <c r="S307" s="36">
        <f t="shared" si="4"/>
        <v>0</v>
      </c>
    </row>
    <row r="308" spans="19:19" x14ac:dyDescent="0.3">
      <c r="S308" s="36">
        <f t="shared" si="4"/>
        <v>0</v>
      </c>
    </row>
    <row r="309" spans="19:19" x14ac:dyDescent="0.3">
      <c r="S309" s="36">
        <f t="shared" si="4"/>
        <v>0</v>
      </c>
    </row>
    <row r="310" spans="19:19" x14ac:dyDescent="0.3">
      <c r="S310" s="36">
        <f t="shared" si="4"/>
        <v>0</v>
      </c>
    </row>
    <row r="311" spans="19:19" x14ac:dyDescent="0.3">
      <c r="S311" s="36">
        <f t="shared" si="4"/>
        <v>0</v>
      </c>
    </row>
    <row r="312" spans="19:19" x14ac:dyDescent="0.3">
      <c r="S312" s="36">
        <f t="shared" si="4"/>
        <v>0</v>
      </c>
    </row>
    <row r="313" spans="19:19" x14ac:dyDescent="0.3">
      <c r="S313" s="36">
        <f t="shared" si="4"/>
        <v>0</v>
      </c>
    </row>
    <row r="314" spans="19:19" x14ac:dyDescent="0.3">
      <c r="S314" s="36">
        <f t="shared" si="4"/>
        <v>0</v>
      </c>
    </row>
    <row r="315" spans="19:19" x14ac:dyDescent="0.3">
      <c r="S315" s="36">
        <f t="shared" si="4"/>
        <v>0</v>
      </c>
    </row>
    <row r="316" spans="19:19" x14ac:dyDescent="0.3">
      <c r="S316" s="36">
        <f t="shared" si="4"/>
        <v>0</v>
      </c>
    </row>
    <row r="317" spans="19:19" x14ac:dyDescent="0.3">
      <c r="S317" s="36">
        <f t="shared" si="4"/>
        <v>0</v>
      </c>
    </row>
    <row r="318" spans="19:19" x14ac:dyDescent="0.3">
      <c r="S318" s="36">
        <f t="shared" si="4"/>
        <v>0</v>
      </c>
    </row>
    <row r="319" spans="19:19" x14ac:dyDescent="0.3">
      <c r="S319" s="36">
        <f t="shared" si="4"/>
        <v>0</v>
      </c>
    </row>
    <row r="320" spans="19:19" x14ac:dyDescent="0.3">
      <c r="S320" s="36">
        <f t="shared" si="4"/>
        <v>0</v>
      </c>
    </row>
    <row r="321" spans="19:19" x14ac:dyDescent="0.3">
      <c r="S321" s="36">
        <f t="shared" si="4"/>
        <v>0</v>
      </c>
    </row>
    <row r="322" spans="19:19" x14ac:dyDescent="0.3">
      <c r="S322" s="36">
        <f t="shared" si="4"/>
        <v>0</v>
      </c>
    </row>
    <row r="323" spans="19:19" x14ac:dyDescent="0.3">
      <c r="S323" s="36">
        <f t="shared" ref="S323:S386" si="5">SUM(N323:R323)</f>
        <v>0</v>
      </c>
    </row>
    <row r="324" spans="19:19" x14ac:dyDescent="0.3">
      <c r="S324" s="36">
        <f t="shared" si="5"/>
        <v>0</v>
      </c>
    </row>
    <row r="325" spans="19:19" x14ac:dyDescent="0.3">
      <c r="S325" s="36">
        <f t="shared" si="5"/>
        <v>0</v>
      </c>
    </row>
    <row r="326" spans="19:19" x14ac:dyDescent="0.3">
      <c r="S326" s="36">
        <f t="shared" si="5"/>
        <v>0</v>
      </c>
    </row>
    <row r="327" spans="19:19" x14ac:dyDescent="0.3">
      <c r="S327" s="36">
        <f t="shared" si="5"/>
        <v>0</v>
      </c>
    </row>
    <row r="328" spans="19:19" x14ac:dyDescent="0.3">
      <c r="S328" s="36">
        <f t="shared" si="5"/>
        <v>0</v>
      </c>
    </row>
    <row r="329" spans="19:19" x14ac:dyDescent="0.3">
      <c r="S329" s="36">
        <f t="shared" si="5"/>
        <v>0</v>
      </c>
    </row>
    <row r="330" spans="19:19" x14ac:dyDescent="0.3">
      <c r="S330" s="36">
        <f t="shared" si="5"/>
        <v>0</v>
      </c>
    </row>
    <row r="331" spans="19:19" x14ac:dyDescent="0.3">
      <c r="S331" s="36">
        <f t="shared" si="5"/>
        <v>0</v>
      </c>
    </row>
    <row r="332" spans="19:19" x14ac:dyDescent="0.3">
      <c r="S332" s="36">
        <f t="shared" si="5"/>
        <v>0</v>
      </c>
    </row>
    <row r="333" spans="19:19" x14ac:dyDescent="0.3">
      <c r="S333" s="36">
        <f t="shared" si="5"/>
        <v>0</v>
      </c>
    </row>
    <row r="334" spans="19:19" x14ac:dyDescent="0.3">
      <c r="S334" s="36">
        <f t="shared" si="5"/>
        <v>0</v>
      </c>
    </row>
    <row r="335" spans="19:19" x14ac:dyDescent="0.3">
      <c r="S335" s="36">
        <f t="shared" si="5"/>
        <v>0</v>
      </c>
    </row>
    <row r="336" spans="19:19" x14ac:dyDescent="0.3">
      <c r="S336" s="36">
        <f t="shared" si="5"/>
        <v>0</v>
      </c>
    </row>
    <row r="337" spans="19:19" x14ac:dyDescent="0.3">
      <c r="S337" s="36">
        <f t="shared" si="5"/>
        <v>0</v>
      </c>
    </row>
    <row r="338" spans="19:19" x14ac:dyDescent="0.3">
      <c r="S338" s="36">
        <f t="shared" si="5"/>
        <v>0</v>
      </c>
    </row>
    <row r="339" spans="19:19" x14ac:dyDescent="0.3">
      <c r="S339" s="36">
        <f t="shared" si="5"/>
        <v>0</v>
      </c>
    </row>
    <row r="340" spans="19:19" x14ac:dyDescent="0.3">
      <c r="S340" s="36">
        <f t="shared" si="5"/>
        <v>0</v>
      </c>
    </row>
    <row r="341" spans="19:19" x14ac:dyDescent="0.3">
      <c r="S341" s="36">
        <f t="shared" si="5"/>
        <v>0</v>
      </c>
    </row>
    <row r="342" spans="19:19" x14ac:dyDescent="0.3">
      <c r="S342" s="36">
        <f t="shared" si="5"/>
        <v>0</v>
      </c>
    </row>
    <row r="343" spans="19:19" x14ac:dyDescent="0.3">
      <c r="S343" s="36">
        <f t="shared" si="5"/>
        <v>0</v>
      </c>
    </row>
    <row r="344" spans="19:19" x14ac:dyDescent="0.3">
      <c r="S344" s="36">
        <f t="shared" si="5"/>
        <v>0</v>
      </c>
    </row>
    <row r="345" spans="19:19" x14ac:dyDescent="0.3">
      <c r="S345" s="36">
        <f t="shared" si="5"/>
        <v>0</v>
      </c>
    </row>
    <row r="346" spans="19:19" x14ac:dyDescent="0.3">
      <c r="S346" s="36">
        <f t="shared" si="5"/>
        <v>0</v>
      </c>
    </row>
    <row r="347" spans="19:19" x14ac:dyDescent="0.3">
      <c r="S347" s="36">
        <f t="shared" si="5"/>
        <v>0</v>
      </c>
    </row>
    <row r="348" spans="19:19" x14ac:dyDescent="0.3">
      <c r="S348" s="36">
        <f t="shared" si="5"/>
        <v>0</v>
      </c>
    </row>
    <row r="349" spans="19:19" x14ac:dyDescent="0.3">
      <c r="S349" s="36">
        <f t="shared" si="5"/>
        <v>0</v>
      </c>
    </row>
    <row r="350" spans="19:19" x14ac:dyDescent="0.3">
      <c r="S350" s="36">
        <f t="shared" si="5"/>
        <v>0</v>
      </c>
    </row>
    <row r="351" spans="19:19" x14ac:dyDescent="0.3">
      <c r="S351" s="36">
        <f t="shared" si="5"/>
        <v>0</v>
      </c>
    </row>
    <row r="352" spans="19:19" x14ac:dyDescent="0.3">
      <c r="S352" s="36">
        <f t="shared" si="5"/>
        <v>0</v>
      </c>
    </row>
    <row r="353" spans="19:19" x14ac:dyDescent="0.3">
      <c r="S353" s="36">
        <f t="shared" si="5"/>
        <v>0</v>
      </c>
    </row>
    <row r="354" spans="19:19" x14ac:dyDescent="0.3">
      <c r="S354" s="36">
        <f t="shared" si="5"/>
        <v>0</v>
      </c>
    </row>
    <row r="355" spans="19:19" x14ac:dyDescent="0.3">
      <c r="S355" s="36">
        <f t="shared" si="5"/>
        <v>0</v>
      </c>
    </row>
    <row r="356" spans="19:19" x14ac:dyDescent="0.3">
      <c r="S356" s="36">
        <f t="shared" si="5"/>
        <v>0</v>
      </c>
    </row>
    <row r="357" spans="19:19" x14ac:dyDescent="0.3">
      <c r="S357" s="36">
        <f t="shared" si="5"/>
        <v>0</v>
      </c>
    </row>
    <row r="358" spans="19:19" x14ac:dyDescent="0.3">
      <c r="S358" s="36">
        <f t="shared" si="5"/>
        <v>0</v>
      </c>
    </row>
    <row r="359" spans="19:19" x14ac:dyDescent="0.3">
      <c r="S359" s="36">
        <f t="shared" si="5"/>
        <v>0</v>
      </c>
    </row>
    <row r="360" spans="19:19" x14ac:dyDescent="0.3">
      <c r="S360" s="36">
        <f t="shared" si="5"/>
        <v>0</v>
      </c>
    </row>
    <row r="361" spans="19:19" x14ac:dyDescent="0.3">
      <c r="S361" s="36">
        <f t="shared" si="5"/>
        <v>0</v>
      </c>
    </row>
    <row r="362" spans="19:19" x14ac:dyDescent="0.3">
      <c r="S362" s="36">
        <f t="shared" si="5"/>
        <v>0</v>
      </c>
    </row>
    <row r="363" spans="19:19" x14ac:dyDescent="0.3">
      <c r="S363" s="36">
        <f t="shared" si="5"/>
        <v>0</v>
      </c>
    </row>
    <row r="364" spans="19:19" x14ac:dyDescent="0.3">
      <c r="S364" s="36">
        <f t="shared" si="5"/>
        <v>0</v>
      </c>
    </row>
    <row r="365" spans="19:19" x14ac:dyDescent="0.3">
      <c r="S365" s="36">
        <f t="shared" si="5"/>
        <v>0</v>
      </c>
    </row>
    <row r="366" spans="19:19" x14ac:dyDescent="0.3">
      <c r="S366" s="36">
        <f t="shared" si="5"/>
        <v>0</v>
      </c>
    </row>
    <row r="367" spans="19:19" x14ac:dyDescent="0.3">
      <c r="S367" s="36">
        <f t="shared" si="5"/>
        <v>0</v>
      </c>
    </row>
    <row r="368" spans="19:19" x14ac:dyDescent="0.3">
      <c r="S368" s="36">
        <f t="shared" si="5"/>
        <v>0</v>
      </c>
    </row>
    <row r="369" spans="19:19" x14ac:dyDescent="0.3">
      <c r="S369" s="36">
        <f t="shared" si="5"/>
        <v>0</v>
      </c>
    </row>
    <row r="370" spans="19:19" x14ac:dyDescent="0.3">
      <c r="S370" s="36">
        <f t="shared" si="5"/>
        <v>0</v>
      </c>
    </row>
    <row r="371" spans="19:19" x14ac:dyDescent="0.3">
      <c r="S371" s="36">
        <f t="shared" si="5"/>
        <v>0</v>
      </c>
    </row>
    <row r="372" spans="19:19" x14ac:dyDescent="0.3">
      <c r="S372" s="36">
        <f t="shared" si="5"/>
        <v>0</v>
      </c>
    </row>
    <row r="373" spans="19:19" x14ac:dyDescent="0.3">
      <c r="S373" s="36">
        <f t="shared" si="5"/>
        <v>0</v>
      </c>
    </row>
    <row r="374" spans="19:19" x14ac:dyDescent="0.3">
      <c r="S374" s="36">
        <f t="shared" si="5"/>
        <v>0</v>
      </c>
    </row>
    <row r="375" spans="19:19" x14ac:dyDescent="0.3">
      <c r="S375" s="36">
        <f t="shared" si="5"/>
        <v>0</v>
      </c>
    </row>
    <row r="376" spans="19:19" x14ac:dyDescent="0.3">
      <c r="S376" s="36">
        <f t="shared" si="5"/>
        <v>0</v>
      </c>
    </row>
    <row r="377" spans="19:19" x14ac:dyDescent="0.3">
      <c r="S377" s="36">
        <f t="shared" si="5"/>
        <v>0</v>
      </c>
    </row>
    <row r="378" spans="19:19" x14ac:dyDescent="0.3">
      <c r="S378" s="36">
        <f t="shared" si="5"/>
        <v>0</v>
      </c>
    </row>
    <row r="379" spans="19:19" x14ac:dyDescent="0.3">
      <c r="S379" s="36">
        <f t="shared" si="5"/>
        <v>0</v>
      </c>
    </row>
    <row r="380" spans="19:19" x14ac:dyDescent="0.3">
      <c r="S380" s="36">
        <f t="shared" si="5"/>
        <v>0</v>
      </c>
    </row>
    <row r="381" spans="19:19" x14ac:dyDescent="0.3">
      <c r="S381" s="36">
        <f t="shared" si="5"/>
        <v>0</v>
      </c>
    </row>
    <row r="382" spans="19:19" x14ac:dyDescent="0.3">
      <c r="S382" s="36">
        <f t="shared" si="5"/>
        <v>0</v>
      </c>
    </row>
    <row r="383" spans="19:19" x14ac:dyDescent="0.3">
      <c r="S383" s="36">
        <f t="shared" si="5"/>
        <v>0</v>
      </c>
    </row>
    <row r="384" spans="19:19" x14ac:dyDescent="0.3">
      <c r="S384" s="36">
        <f t="shared" si="5"/>
        <v>0</v>
      </c>
    </row>
    <row r="385" spans="19:19" x14ac:dyDescent="0.3">
      <c r="S385" s="36">
        <f t="shared" si="5"/>
        <v>0</v>
      </c>
    </row>
    <row r="386" spans="19:19" x14ac:dyDescent="0.3">
      <c r="S386" s="36">
        <f t="shared" si="5"/>
        <v>0</v>
      </c>
    </row>
    <row r="387" spans="19:19" x14ac:dyDescent="0.3">
      <c r="S387" s="36">
        <f t="shared" ref="S387:S450" si="6">SUM(N387:R387)</f>
        <v>0</v>
      </c>
    </row>
    <row r="388" spans="19:19" x14ac:dyDescent="0.3">
      <c r="S388" s="36">
        <f t="shared" si="6"/>
        <v>0</v>
      </c>
    </row>
    <row r="389" spans="19:19" x14ac:dyDescent="0.3">
      <c r="S389" s="36">
        <f t="shared" si="6"/>
        <v>0</v>
      </c>
    </row>
    <row r="390" spans="19:19" x14ac:dyDescent="0.3">
      <c r="S390" s="36">
        <f t="shared" si="6"/>
        <v>0</v>
      </c>
    </row>
    <row r="391" spans="19:19" x14ac:dyDescent="0.3">
      <c r="S391" s="36">
        <f t="shared" si="6"/>
        <v>0</v>
      </c>
    </row>
    <row r="392" spans="19:19" x14ac:dyDescent="0.3">
      <c r="S392" s="36">
        <f t="shared" si="6"/>
        <v>0</v>
      </c>
    </row>
    <row r="393" spans="19:19" x14ac:dyDescent="0.3">
      <c r="S393" s="36">
        <f t="shared" si="6"/>
        <v>0</v>
      </c>
    </row>
    <row r="394" spans="19:19" x14ac:dyDescent="0.3">
      <c r="S394" s="36">
        <f t="shared" si="6"/>
        <v>0</v>
      </c>
    </row>
    <row r="395" spans="19:19" x14ac:dyDescent="0.3">
      <c r="S395" s="36">
        <f t="shared" si="6"/>
        <v>0</v>
      </c>
    </row>
    <row r="396" spans="19:19" x14ac:dyDescent="0.3">
      <c r="S396" s="36">
        <f t="shared" si="6"/>
        <v>0</v>
      </c>
    </row>
    <row r="397" spans="19:19" x14ac:dyDescent="0.3">
      <c r="S397" s="36">
        <f t="shared" si="6"/>
        <v>0</v>
      </c>
    </row>
    <row r="398" spans="19:19" x14ac:dyDescent="0.3">
      <c r="S398" s="36">
        <f t="shared" si="6"/>
        <v>0</v>
      </c>
    </row>
    <row r="399" spans="19:19" x14ac:dyDescent="0.3">
      <c r="S399" s="36">
        <f t="shared" si="6"/>
        <v>0</v>
      </c>
    </row>
    <row r="400" spans="19:19" x14ac:dyDescent="0.3">
      <c r="S400" s="36">
        <f t="shared" si="6"/>
        <v>0</v>
      </c>
    </row>
    <row r="401" spans="19:19" x14ac:dyDescent="0.3">
      <c r="S401" s="36">
        <f t="shared" si="6"/>
        <v>0</v>
      </c>
    </row>
    <row r="402" spans="19:19" x14ac:dyDescent="0.3">
      <c r="S402" s="36">
        <f t="shared" si="6"/>
        <v>0</v>
      </c>
    </row>
    <row r="403" spans="19:19" x14ac:dyDescent="0.3">
      <c r="S403" s="36">
        <f t="shared" si="6"/>
        <v>0</v>
      </c>
    </row>
    <row r="404" spans="19:19" x14ac:dyDescent="0.3">
      <c r="S404" s="36">
        <f t="shared" si="6"/>
        <v>0</v>
      </c>
    </row>
    <row r="405" spans="19:19" x14ac:dyDescent="0.3">
      <c r="S405" s="36">
        <f t="shared" si="6"/>
        <v>0</v>
      </c>
    </row>
    <row r="406" spans="19:19" x14ac:dyDescent="0.3">
      <c r="S406" s="36">
        <f t="shared" si="6"/>
        <v>0</v>
      </c>
    </row>
    <row r="407" spans="19:19" x14ac:dyDescent="0.3">
      <c r="S407" s="36">
        <f t="shared" si="6"/>
        <v>0</v>
      </c>
    </row>
    <row r="408" spans="19:19" x14ac:dyDescent="0.3">
      <c r="S408" s="36">
        <f t="shared" si="6"/>
        <v>0</v>
      </c>
    </row>
    <row r="409" spans="19:19" x14ac:dyDescent="0.3">
      <c r="S409" s="36">
        <f t="shared" si="6"/>
        <v>0</v>
      </c>
    </row>
    <row r="410" spans="19:19" x14ac:dyDescent="0.3">
      <c r="S410" s="36">
        <f t="shared" si="6"/>
        <v>0</v>
      </c>
    </row>
    <row r="411" spans="19:19" x14ac:dyDescent="0.3">
      <c r="S411" s="36">
        <f t="shared" si="6"/>
        <v>0</v>
      </c>
    </row>
    <row r="412" spans="19:19" x14ac:dyDescent="0.3">
      <c r="S412" s="36">
        <f t="shared" si="6"/>
        <v>0</v>
      </c>
    </row>
    <row r="413" spans="19:19" x14ac:dyDescent="0.3">
      <c r="S413" s="36">
        <f t="shared" si="6"/>
        <v>0</v>
      </c>
    </row>
    <row r="414" spans="19:19" x14ac:dyDescent="0.3">
      <c r="S414" s="36">
        <f t="shared" si="6"/>
        <v>0</v>
      </c>
    </row>
    <row r="415" spans="19:19" x14ac:dyDescent="0.3">
      <c r="S415" s="36">
        <f t="shared" si="6"/>
        <v>0</v>
      </c>
    </row>
    <row r="416" spans="19:19" x14ac:dyDescent="0.3">
      <c r="S416" s="36">
        <f t="shared" si="6"/>
        <v>0</v>
      </c>
    </row>
    <row r="417" spans="19:19" x14ac:dyDescent="0.3">
      <c r="S417" s="36">
        <f t="shared" si="6"/>
        <v>0</v>
      </c>
    </row>
    <row r="418" spans="19:19" x14ac:dyDescent="0.3">
      <c r="S418" s="36">
        <f t="shared" si="6"/>
        <v>0</v>
      </c>
    </row>
    <row r="419" spans="19:19" x14ac:dyDescent="0.3">
      <c r="S419" s="36">
        <f t="shared" si="6"/>
        <v>0</v>
      </c>
    </row>
    <row r="420" spans="19:19" x14ac:dyDescent="0.3">
      <c r="S420" s="36">
        <f t="shared" si="6"/>
        <v>0</v>
      </c>
    </row>
    <row r="421" spans="19:19" x14ac:dyDescent="0.3">
      <c r="S421" s="36">
        <f t="shared" si="6"/>
        <v>0</v>
      </c>
    </row>
    <row r="422" spans="19:19" x14ac:dyDescent="0.3">
      <c r="S422" s="36">
        <f t="shared" si="6"/>
        <v>0</v>
      </c>
    </row>
    <row r="423" spans="19:19" x14ac:dyDescent="0.3">
      <c r="S423" s="36">
        <f t="shared" si="6"/>
        <v>0</v>
      </c>
    </row>
    <row r="424" spans="19:19" x14ac:dyDescent="0.3">
      <c r="S424" s="36">
        <f t="shared" si="6"/>
        <v>0</v>
      </c>
    </row>
    <row r="425" spans="19:19" x14ac:dyDescent="0.3">
      <c r="S425" s="36">
        <f t="shared" si="6"/>
        <v>0</v>
      </c>
    </row>
    <row r="426" spans="19:19" x14ac:dyDescent="0.3">
      <c r="S426" s="36">
        <f t="shared" si="6"/>
        <v>0</v>
      </c>
    </row>
    <row r="427" spans="19:19" x14ac:dyDescent="0.3">
      <c r="S427" s="36">
        <f t="shared" si="6"/>
        <v>0</v>
      </c>
    </row>
    <row r="428" spans="19:19" x14ac:dyDescent="0.3">
      <c r="S428" s="36">
        <f t="shared" si="6"/>
        <v>0</v>
      </c>
    </row>
    <row r="429" spans="19:19" x14ac:dyDescent="0.3">
      <c r="S429" s="36">
        <f t="shared" si="6"/>
        <v>0</v>
      </c>
    </row>
    <row r="430" spans="19:19" x14ac:dyDescent="0.3">
      <c r="S430" s="36">
        <f t="shared" si="6"/>
        <v>0</v>
      </c>
    </row>
    <row r="431" spans="19:19" x14ac:dyDescent="0.3">
      <c r="S431" s="36">
        <f t="shared" si="6"/>
        <v>0</v>
      </c>
    </row>
    <row r="432" spans="19:19" x14ac:dyDescent="0.3">
      <c r="S432" s="36">
        <f t="shared" si="6"/>
        <v>0</v>
      </c>
    </row>
    <row r="433" spans="19:19" x14ac:dyDescent="0.3">
      <c r="S433" s="36">
        <f t="shared" si="6"/>
        <v>0</v>
      </c>
    </row>
    <row r="434" spans="19:19" x14ac:dyDescent="0.3">
      <c r="S434" s="36">
        <f t="shared" si="6"/>
        <v>0</v>
      </c>
    </row>
    <row r="435" spans="19:19" x14ac:dyDescent="0.3">
      <c r="S435" s="36">
        <f t="shared" si="6"/>
        <v>0</v>
      </c>
    </row>
    <row r="436" spans="19:19" x14ac:dyDescent="0.3">
      <c r="S436" s="36">
        <f t="shared" si="6"/>
        <v>0</v>
      </c>
    </row>
    <row r="437" spans="19:19" x14ac:dyDescent="0.3">
      <c r="S437" s="36">
        <f t="shared" si="6"/>
        <v>0</v>
      </c>
    </row>
    <row r="438" spans="19:19" x14ac:dyDescent="0.3">
      <c r="S438" s="36">
        <f t="shared" si="6"/>
        <v>0</v>
      </c>
    </row>
    <row r="439" spans="19:19" x14ac:dyDescent="0.3">
      <c r="S439" s="36">
        <f t="shared" si="6"/>
        <v>0</v>
      </c>
    </row>
    <row r="440" spans="19:19" x14ac:dyDescent="0.3">
      <c r="S440" s="36">
        <f t="shared" si="6"/>
        <v>0</v>
      </c>
    </row>
    <row r="441" spans="19:19" x14ac:dyDescent="0.3">
      <c r="S441" s="36">
        <f t="shared" si="6"/>
        <v>0</v>
      </c>
    </row>
    <row r="442" spans="19:19" x14ac:dyDescent="0.3">
      <c r="S442" s="36">
        <f t="shared" si="6"/>
        <v>0</v>
      </c>
    </row>
    <row r="443" spans="19:19" x14ac:dyDescent="0.3">
      <c r="S443" s="36">
        <f t="shared" si="6"/>
        <v>0</v>
      </c>
    </row>
    <row r="444" spans="19:19" x14ac:dyDescent="0.3">
      <c r="S444" s="36">
        <f t="shared" si="6"/>
        <v>0</v>
      </c>
    </row>
    <row r="445" spans="19:19" x14ac:dyDescent="0.3">
      <c r="S445" s="36">
        <f t="shared" si="6"/>
        <v>0</v>
      </c>
    </row>
    <row r="446" spans="19:19" x14ac:dyDescent="0.3">
      <c r="S446" s="36">
        <f t="shared" si="6"/>
        <v>0</v>
      </c>
    </row>
    <row r="447" spans="19:19" x14ac:dyDescent="0.3">
      <c r="S447" s="36">
        <f t="shared" si="6"/>
        <v>0</v>
      </c>
    </row>
    <row r="448" spans="19:19" x14ac:dyDescent="0.3">
      <c r="S448" s="36">
        <f t="shared" si="6"/>
        <v>0</v>
      </c>
    </row>
    <row r="449" spans="19:19" x14ac:dyDescent="0.3">
      <c r="S449" s="36">
        <f t="shared" si="6"/>
        <v>0</v>
      </c>
    </row>
    <row r="450" spans="19:19" x14ac:dyDescent="0.3">
      <c r="S450" s="36">
        <f t="shared" si="6"/>
        <v>0</v>
      </c>
    </row>
    <row r="451" spans="19:19" x14ac:dyDescent="0.3">
      <c r="S451" s="36">
        <f t="shared" ref="S451:S514" si="7">SUM(N451:R451)</f>
        <v>0</v>
      </c>
    </row>
    <row r="452" spans="19:19" x14ac:dyDescent="0.3">
      <c r="S452" s="36">
        <f t="shared" si="7"/>
        <v>0</v>
      </c>
    </row>
    <row r="453" spans="19:19" x14ac:dyDescent="0.3">
      <c r="S453" s="36">
        <f t="shared" si="7"/>
        <v>0</v>
      </c>
    </row>
    <row r="454" spans="19:19" x14ac:dyDescent="0.3">
      <c r="S454" s="36">
        <f t="shared" si="7"/>
        <v>0</v>
      </c>
    </row>
    <row r="455" spans="19:19" x14ac:dyDescent="0.3">
      <c r="S455" s="36">
        <f t="shared" si="7"/>
        <v>0</v>
      </c>
    </row>
    <row r="456" spans="19:19" x14ac:dyDescent="0.3">
      <c r="S456" s="36">
        <f t="shared" si="7"/>
        <v>0</v>
      </c>
    </row>
    <row r="457" spans="19:19" x14ac:dyDescent="0.3">
      <c r="S457" s="36">
        <f t="shared" si="7"/>
        <v>0</v>
      </c>
    </row>
    <row r="458" spans="19:19" x14ac:dyDescent="0.3">
      <c r="S458" s="36">
        <f t="shared" si="7"/>
        <v>0</v>
      </c>
    </row>
    <row r="459" spans="19:19" x14ac:dyDescent="0.3">
      <c r="S459" s="36">
        <f t="shared" si="7"/>
        <v>0</v>
      </c>
    </row>
    <row r="460" spans="19:19" x14ac:dyDescent="0.3">
      <c r="S460" s="36">
        <f t="shared" si="7"/>
        <v>0</v>
      </c>
    </row>
    <row r="461" spans="19:19" x14ac:dyDescent="0.3">
      <c r="S461" s="36">
        <f t="shared" si="7"/>
        <v>0</v>
      </c>
    </row>
    <row r="462" spans="19:19" x14ac:dyDescent="0.3">
      <c r="S462" s="36">
        <f t="shared" si="7"/>
        <v>0</v>
      </c>
    </row>
    <row r="463" spans="19:19" x14ac:dyDescent="0.3">
      <c r="S463" s="36">
        <f t="shared" si="7"/>
        <v>0</v>
      </c>
    </row>
    <row r="464" spans="19:19" x14ac:dyDescent="0.3">
      <c r="S464" s="36">
        <f t="shared" si="7"/>
        <v>0</v>
      </c>
    </row>
    <row r="465" spans="19:19" x14ac:dyDescent="0.3">
      <c r="S465" s="36">
        <f t="shared" si="7"/>
        <v>0</v>
      </c>
    </row>
    <row r="466" spans="19:19" x14ac:dyDescent="0.3">
      <c r="S466" s="36">
        <f t="shared" si="7"/>
        <v>0</v>
      </c>
    </row>
    <row r="467" spans="19:19" x14ac:dyDescent="0.3">
      <c r="S467" s="36">
        <f t="shared" si="7"/>
        <v>0</v>
      </c>
    </row>
    <row r="468" spans="19:19" x14ac:dyDescent="0.3">
      <c r="S468" s="36">
        <f t="shared" si="7"/>
        <v>0</v>
      </c>
    </row>
    <row r="469" spans="19:19" x14ac:dyDescent="0.3">
      <c r="S469" s="36">
        <f t="shared" si="7"/>
        <v>0</v>
      </c>
    </row>
    <row r="470" spans="19:19" x14ac:dyDescent="0.3">
      <c r="S470" s="36">
        <f t="shared" si="7"/>
        <v>0</v>
      </c>
    </row>
    <row r="471" spans="19:19" x14ac:dyDescent="0.3">
      <c r="S471" s="36">
        <f t="shared" si="7"/>
        <v>0</v>
      </c>
    </row>
    <row r="472" spans="19:19" x14ac:dyDescent="0.3">
      <c r="S472" s="36">
        <f t="shared" si="7"/>
        <v>0</v>
      </c>
    </row>
    <row r="473" spans="19:19" x14ac:dyDescent="0.3">
      <c r="S473" s="36">
        <f t="shared" si="7"/>
        <v>0</v>
      </c>
    </row>
    <row r="474" spans="19:19" x14ac:dyDescent="0.3">
      <c r="S474" s="36">
        <f t="shared" si="7"/>
        <v>0</v>
      </c>
    </row>
    <row r="475" spans="19:19" x14ac:dyDescent="0.3">
      <c r="S475" s="36">
        <f t="shared" si="7"/>
        <v>0</v>
      </c>
    </row>
    <row r="476" spans="19:19" x14ac:dyDescent="0.3">
      <c r="S476" s="36">
        <f t="shared" si="7"/>
        <v>0</v>
      </c>
    </row>
    <row r="477" spans="19:19" x14ac:dyDescent="0.3">
      <c r="S477" s="36">
        <f t="shared" si="7"/>
        <v>0</v>
      </c>
    </row>
    <row r="478" spans="19:19" x14ac:dyDescent="0.3">
      <c r="S478" s="36">
        <f t="shared" si="7"/>
        <v>0</v>
      </c>
    </row>
    <row r="479" spans="19:19" x14ac:dyDescent="0.3">
      <c r="S479" s="36">
        <f t="shared" si="7"/>
        <v>0</v>
      </c>
    </row>
    <row r="480" spans="19:19" x14ac:dyDescent="0.3">
      <c r="S480" s="36">
        <f t="shared" si="7"/>
        <v>0</v>
      </c>
    </row>
    <row r="481" spans="19:19" x14ac:dyDescent="0.3">
      <c r="S481" s="36">
        <f t="shared" si="7"/>
        <v>0</v>
      </c>
    </row>
    <row r="482" spans="19:19" x14ac:dyDescent="0.3">
      <c r="S482" s="36">
        <f t="shared" si="7"/>
        <v>0</v>
      </c>
    </row>
    <row r="483" spans="19:19" x14ac:dyDescent="0.3">
      <c r="S483" s="36">
        <f t="shared" si="7"/>
        <v>0</v>
      </c>
    </row>
    <row r="484" spans="19:19" x14ac:dyDescent="0.3">
      <c r="S484" s="36">
        <f t="shared" si="7"/>
        <v>0</v>
      </c>
    </row>
    <row r="485" spans="19:19" x14ac:dyDescent="0.3">
      <c r="S485" s="36">
        <f t="shared" si="7"/>
        <v>0</v>
      </c>
    </row>
    <row r="486" spans="19:19" x14ac:dyDescent="0.3">
      <c r="S486" s="36">
        <f t="shared" si="7"/>
        <v>0</v>
      </c>
    </row>
    <row r="487" spans="19:19" x14ac:dyDescent="0.3">
      <c r="S487" s="36">
        <f t="shared" si="7"/>
        <v>0</v>
      </c>
    </row>
    <row r="488" spans="19:19" x14ac:dyDescent="0.3">
      <c r="S488" s="36">
        <f t="shared" si="7"/>
        <v>0</v>
      </c>
    </row>
    <row r="489" spans="19:19" x14ac:dyDescent="0.3">
      <c r="S489" s="36">
        <f t="shared" si="7"/>
        <v>0</v>
      </c>
    </row>
    <row r="490" spans="19:19" x14ac:dyDescent="0.3">
      <c r="S490" s="36">
        <f t="shared" si="7"/>
        <v>0</v>
      </c>
    </row>
    <row r="491" spans="19:19" x14ac:dyDescent="0.3">
      <c r="S491" s="36">
        <f t="shared" si="7"/>
        <v>0</v>
      </c>
    </row>
    <row r="492" spans="19:19" x14ac:dyDescent="0.3">
      <c r="S492" s="36">
        <f t="shared" si="7"/>
        <v>0</v>
      </c>
    </row>
    <row r="493" spans="19:19" x14ac:dyDescent="0.3">
      <c r="S493" s="36">
        <f t="shared" si="7"/>
        <v>0</v>
      </c>
    </row>
    <row r="494" spans="19:19" x14ac:dyDescent="0.3">
      <c r="S494" s="36">
        <f t="shared" si="7"/>
        <v>0</v>
      </c>
    </row>
    <row r="495" spans="19:19" x14ac:dyDescent="0.3">
      <c r="S495" s="36">
        <f t="shared" si="7"/>
        <v>0</v>
      </c>
    </row>
    <row r="496" spans="19:19" x14ac:dyDescent="0.3">
      <c r="S496" s="36">
        <f t="shared" si="7"/>
        <v>0</v>
      </c>
    </row>
    <row r="497" spans="19:19" x14ac:dyDescent="0.3">
      <c r="S497" s="36">
        <f t="shared" si="7"/>
        <v>0</v>
      </c>
    </row>
    <row r="498" spans="19:19" x14ac:dyDescent="0.3">
      <c r="S498" s="36">
        <f t="shared" si="7"/>
        <v>0</v>
      </c>
    </row>
    <row r="499" spans="19:19" x14ac:dyDescent="0.3">
      <c r="S499" s="36">
        <f t="shared" si="7"/>
        <v>0</v>
      </c>
    </row>
    <row r="500" spans="19:19" x14ac:dyDescent="0.3">
      <c r="S500" s="36">
        <f t="shared" si="7"/>
        <v>0</v>
      </c>
    </row>
    <row r="501" spans="19:19" x14ac:dyDescent="0.3">
      <c r="S501" s="36">
        <f t="shared" si="7"/>
        <v>0</v>
      </c>
    </row>
    <row r="502" spans="19:19" x14ac:dyDescent="0.3">
      <c r="S502" s="36">
        <f t="shared" si="7"/>
        <v>0</v>
      </c>
    </row>
    <row r="503" spans="19:19" x14ac:dyDescent="0.3">
      <c r="S503" s="36">
        <f t="shared" si="7"/>
        <v>0</v>
      </c>
    </row>
    <row r="504" spans="19:19" x14ac:dyDescent="0.3">
      <c r="S504" s="36">
        <f t="shared" si="7"/>
        <v>0</v>
      </c>
    </row>
    <row r="505" spans="19:19" x14ac:dyDescent="0.3">
      <c r="S505" s="36">
        <f t="shared" si="7"/>
        <v>0</v>
      </c>
    </row>
    <row r="506" spans="19:19" x14ac:dyDescent="0.3">
      <c r="S506" s="36">
        <f t="shared" si="7"/>
        <v>0</v>
      </c>
    </row>
    <row r="507" spans="19:19" x14ac:dyDescent="0.3">
      <c r="S507" s="36">
        <f t="shared" si="7"/>
        <v>0</v>
      </c>
    </row>
    <row r="508" spans="19:19" x14ac:dyDescent="0.3">
      <c r="S508" s="36">
        <f t="shared" si="7"/>
        <v>0</v>
      </c>
    </row>
    <row r="509" spans="19:19" x14ac:dyDescent="0.3">
      <c r="S509" s="36">
        <f t="shared" si="7"/>
        <v>0</v>
      </c>
    </row>
    <row r="510" spans="19:19" x14ac:dyDescent="0.3">
      <c r="S510" s="36">
        <f t="shared" si="7"/>
        <v>0</v>
      </c>
    </row>
    <row r="511" spans="19:19" x14ac:dyDescent="0.3">
      <c r="S511" s="36">
        <f t="shared" si="7"/>
        <v>0</v>
      </c>
    </row>
    <row r="512" spans="19:19" x14ac:dyDescent="0.3">
      <c r="S512" s="36">
        <f t="shared" si="7"/>
        <v>0</v>
      </c>
    </row>
    <row r="513" spans="19:19" x14ac:dyDescent="0.3">
      <c r="S513" s="36">
        <f t="shared" si="7"/>
        <v>0</v>
      </c>
    </row>
    <row r="514" spans="19:19" x14ac:dyDescent="0.3">
      <c r="S514" s="36">
        <f t="shared" si="7"/>
        <v>0</v>
      </c>
    </row>
    <row r="515" spans="19:19" x14ac:dyDescent="0.3">
      <c r="S515" s="36">
        <f t="shared" ref="S515:S523" si="8">SUM(N515:R515)</f>
        <v>0</v>
      </c>
    </row>
    <row r="516" spans="19:19" x14ac:dyDescent="0.3">
      <c r="S516" s="36">
        <f t="shared" si="8"/>
        <v>0</v>
      </c>
    </row>
    <row r="517" spans="19:19" x14ac:dyDescent="0.3">
      <c r="S517" s="36">
        <f t="shared" si="8"/>
        <v>0</v>
      </c>
    </row>
    <row r="518" spans="19:19" x14ac:dyDescent="0.3">
      <c r="S518" s="36">
        <f t="shared" si="8"/>
        <v>0</v>
      </c>
    </row>
    <row r="519" spans="19:19" x14ac:dyDescent="0.3">
      <c r="S519" s="36">
        <f t="shared" si="8"/>
        <v>0</v>
      </c>
    </row>
    <row r="520" spans="19:19" x14ac:dyDescent="0.3">
      <c r="S520" s="36">
        <f t="shared" si="8"/>
        <v>0</v>
      </c>
    </row>
    <row r="521" spans="19:19" x14ac:dyDescent="0.3">
      <c r="S521" s="36">
        <f t="shared" si="8"/>
        <v>0</v>
      </c>
    </row>
    <row r="522" spans="19:19" x14ac:dyDescent="0.3">
      <c r="S522" s="36">
        <f t="shared" si="8"/>
        <v>0</v>
      </c>
    </row>
    <row r="523" spans="19:19" x14ac:dyDescent="0.3">
      <c r="S523" s="36">
        <f t="shared" si="8"/>
        <v>0</v>
      </c>
    </row>
  </sheetData>
  <autoFilter ref="A1:S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27CCBB7B37FD42840172FD5C7FA53C" ma:contentTypeVersion="4" ma:contentTypeDescription="Create a new document." ma:contentTypeScope="" ma:versionID="3cb3cd978855e143654b0ac16182cae6">
  <xsd:schema xmlns:xsd="http://www.w3.org/2001/XMLSchema" xmlns:xs="http://www.w3.org/2001/XMLSchema" xmlns:p="http://schemas.microsoft.com/office/2006/metadata/properties" xmlns:ns2="a3c828fa-b368-4920-98f7-3da9feff7364" targetNamespace="http://schemas.microsoft.com/office/2006/metadata/properties" ma:root="true" ma:fieldsID="91c1c7bdfab08965e131d36f0457c0b2" ns2:_="">
    <xsd:import namespace="a3c828fa-b368-4920-98f7-3da9feff7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828fa-b368-4920-98f7-3da9feff73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A2A4E3-4FF7-4A1E-834E-912AA7C6767D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a3c828fa-b368-4920-98f7-3da9feff736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F1E6585-18E7-4941-B1BC-D90D431CEF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177D46-73EF-4439-B482-ADE7D5CFB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c828fa-b368-4920-98f7-3da9feff7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Costuri</vt:lpstr>
      <vt:lpstr>Cursuri AW</vt:lpstr>
      <vt:lpstr>Cursuri AW International</vt:lpstr>
      <vt:lpstr>Cursuri AW Premium</vt:lpstr>
      <vt:lpstr>Cursuri AW Prestige</vt:lpstr>
      <vt:lpstr>Cursuri AW Plus</vt:lpstr>
      <vt:lpstr>Cursuri AW Next</vt:lpstr>
      <vt:lpstr>Cursuri AW One</vt:lpstr>
      <vt:lpstr>Cursuri AW Insurance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Cornelia Mates</cp:lastModifiedBy>
  <cp:revision/>
  <dcterms:created xsi:type="dcterms:W3CDTF">2024-11-18T12:19:14Z</dcterms:created>
  <dcterms:modified xsi:type="dcterms:W3CDTF">2025-12-29T14:46:00Z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0x0101005C27CCBB7B37FD42840172FD5C7FA53C</vt:lpwstr>
  </property>
</Properties>
</file>