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sebastiansabo/Library/Application Support/Claude/local-agent-mode-sessions/55c4d553-37de-4060-ab7c-e3276aa3899e/bf208fdf-943a-4c96-a970-4b95e6826772/local_9ed467d9-4de4-415a-9fa0-b571d3a86447/outputs/"/>
    </mc:Choice>
  </mc:AlternateContent>
  <xr:revisionPtr revIDLastSave="0" documentId="8_{5FB2AE44-1CFC-DB47-870E-F970520C2933}" xr6:coauthVersionLast="47" xr6:coauthVersionMax="47" xr10:uidLastSave="{00000000-0000-0000-0000-000000000000}"/>
  <bookViews>
    <workbookView xWindow="0" yWindow="880" windowWidth="30940" windowHeight="16780" tabRatio="595" xr2:uid="{00000000-000D-0000-FFFF-FFFF00000000}"/>
  </bookViews>
  <sheets>
    <sheet name="Worksheet" sheetId="1" r:id="rId1"/>
  </sheets>
  <calcPr calcId="181029" iterateDelta="1E-4"/>
</workbook>
</file>

<file path=xl/calcChain.xml><?xml version="1.0" encoding="utf-8"?>
<calcChain xmlns="http://schemas.openxmlformats.org/spreadsheetml/2006/main">
  <c r="I9" i="1" l="1"/>
  <c r="I10" i="1" s="1"/>
  <c r="I7" i="1"/>
  <c r="I8" i="1" s="1"/>
  <c r="I5" i="1"/>
  <c r="I6" i="1" s="1"/>
  <c r="I3" i="1"/>
  <c r="I4" i="1" s="1"/>
</calcChain>
</file>

<file path=xl/sharedStrings.xml><?xml version="1.0" encoding="utf-8"?>
<sst xmlns="http://schemas.openxmlformats.org/spreadsheetml/2006/main" count="103" uniqueCount="67">
  <si>
    <t>klient</t>
  </si>
  <si>
    <t>konto</t>
  </si>
  <si>
    <t>soll_haben</t>
  </si>
  <si>
    <t>buchdatum</t>
  </si>
  <si>
    <t>belegart</t>
  </si>
  <si>
    <t>belegdatum</t>
  </si>
  <si>
    <t>belegnummer</t>
  </si>
  <si>
    <t>betrag</t>
  </si>
  <si>
    <t>steuercode</t>
  </si>
  <si>
    <t>steuerbetrag</t>
  </si>
  <si>
    <t>fwcd</t>
  </si>
  <si>
    <t>fwbetrag</t>
  </si>
  <si>
    <t>fw_steuercode</t>
  </si>
  <si>
    <t>fwsteuerbetrag</t>
  </si>
  <si>
    <t>gegenkonto</t>
  </si>
  <si>
    <t>text</t>
  </si>
  <si>
    <t>brutto_netto</t>
  </si>
  <si>
    <t>nettotage</t>
  </si>
  <si>
    <t>valuta</t>
  </si>
  <si>
    <t>leistung</t>
  </si>
  <si>
    <t>leistung_von</t>
  </si>
  <si>
    <t>leistung_bis</t>
  </si>
  <si>
    <t>zuordnung</t>
  </si>
  <si>
    <t>extbeleg</t>
  </si>
  <si>
    <t>valuta_beginn</t>
  </si>
  <si>
    <t>sktage1</t>
  </si>
  <si>
    <t>skproz1</t>
  </si>
  <si>
    <t>sktage2</t>
  </si>
  <si>
    <t>skproz2</t>
  </si>
  <si>
    <t>freigabe</t>
  </si>
  <si>
    <t>kursdatum</t>
  </si>
  <si>
    <t>kurs</t>
  </si>
  <si>
    <t>kurs_per</t>
  </si>
  <si>
    <t>kurs_fix</t>
  </si>
  <si>
    <t>kostenstelle</t>
  </si>
  <si>
    <t>kostentraeger</t>
  </si>
  <si>
    <t>mengen_kz</t>
  </si>
  <si>
    <t>mengen_stuck</t>
  </si>
  <si>
    <t>zession</t>
  </si>
  <si>
    <t>scannummer</t>
  </si>
  <si>
    <t>ueberw_banr</t>
  </si>
  <si>
    <t>nb_code</t>
  </si>
  <si>
    <t>mahncode</t>
  </si>
  <si>
    <t>opo_info</t>
  </si>
  <si>
    <t>skonto_basis</t>
  </si>
  <si>
    <t>skonto_fwbasis</t>
  </si>
  <si>
    <t>kost_variator</t>
  </si>
  <si>
    <t>kost_variator_k</t>
  </si>
  <si>
    <t>skonto</t>
  </si>
  <si>
    <t>skonto_fw</t>
  </si>
  <si>
    <t>vb_factoring</t>
  </si>
  <si>
    <t>kurs_steuer</t>
  </si>
  <si>
    <t>kundendaten</t>
  </si>
  <si>
    <t>vertreter</t>
  </si>
  <si>
    <t>uid</t>
  </si>
  <si>
    <t>x</t>
  </si>
  <si>
    <t>s</t>
  </si>
  <si>
    <t>JVV</t>
  </si>
  <si>
    <t>EUR</t>
  </si>
  <si>
    <t>avans vw golf 509805</t>
  </si>
  <si>
    <t>B</t>
  </si>
  <si>
    <t>h</t>
  </si>
  <si>
    <t>L00</t>
  </si>
  <si>
    <t>N</t>
  </si>
  <si>
    <t>avans vw golf 509806</t>
  </si>
  <si>
    <t>avans vw golf 509807</t>
  </si>
  <si>
    <t>avans vw golf 509808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</si>
</sst>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0"/>
  <sheetViews>
    <sheetView tabSelected="1" workbookViewId="0">
      <pane ySplit="1" topLeftCell="A2" activePane="bottomLeft" state="frozen"/>
      <selection pane="bottomLeft" activeCell="F25" sqref="F25"/>
    </sheetView>
  </sheetViews>
  <sheetFormatPr baseColWidth="10" defaultColWidth="8.83203125" defaultRowHeight="15" x14ac:dyDescent="0.2"/>
  <cols>
    <col min="1" max="1" width="5" customWidth="1"/>
    <col min="2" max="2" width="12" customWidth="1"/>
    <col min="3" max="3" width="10.5" bestFit="1" customWidth="1"/>
    <col min="4" max="5" width="12.83203125" bestFit="1" customWidth="1"/>
    <col min="6" max="6" width="10.5" bestFit="1" customWidth="1"/>
    <col min="7" max="7" width="12.83203125" bestFit="1" customWidth="1"/>
    <col min="8" max="9" width="14" bestFit="1" customWidth="1"/>
    <col min="10" max="10" width="12.83203125" bestFit="1" customWidth="1"/>
    <col min="11" max="11" width="15.33203125" bestFit="1" customWidth="1"/>
    <col min="12" max="12" width="5.83203125" bestFit="1" customWidth="1"/>
    <col min="13" max="13" width="10.5" bestFit="1" customWidth="1"/>
    <col min="14" max="14" width="16.33203125" bestFit="1" customWidth="1"/>
    <col min="15" max="15" width="17.5" bestFit="1" customWidth="1"/>
    <col min="16" max="16" width="12.83203125" bestFit="1" customWidth="1"/>
    <col min="17" max="17" width="13.83203125" customWidth="1"/>
    <col min="18" max="18" width="15.33203125" bestFit="1" customWidth="1"/>
    <col min="19" max="19" width="11.6640625" bestFit="1" customWidth="1"/>
    <col min="20" max="20" width="8.1640625" bestFit="1" customWidth="1"/>
    <col min="21" max="21" width="10.5" bestFit="1" customWidth="1"/>
    <col min="22" max="23" width="15.33203125" bestFit="1" customWidth="1"/>
    <col min="24" max="25" width="11.6640625" bestFit="1" customWidth="1"/>
    <col min="26" max="26" width="16.33203125" bestFit="1" customWidth="1"/>
    <col min="27" max="30" width="9.33203125" bestFit="1" customWidth="1"/>
    <col min="31" max="31" width="10.5" bestFit="1" customWidth="1"/>
    <col min="32" max="32" width="11.6640625" bestFit="1" customWidth="1"/>
    <col min="33" max="33" width="10.33203125" customWidth="1"/>
    <col min="34" max="35" width="10.5" bestFit="1" customWidth="1"/>
    <col min="36" max="36" width="15.33203125" bestFit="1" customWidth="1"/>
    <col min="37" max="37" width="16.33203125" bestFit="1" customWidth="1"/>
    <col min="38" max="38" width="11.6640625" bestFit="1" customWidth="1"/>
    <col min="39" max="39" width="15.33203125" bestFit="1" customWidth="1"/>
    <col min="40" max="40" width="9.33203125" bestFit="1" customWidth="1"/>
    <col min="41" max="41" width="12.83203125" bestFit="1" customWidth="1"/>
    <col min="42" max="42" width="14" bestFit="1" customWidth="1"/>
    <col min="43" max="43" width="9.33203125" bestFit="1" customWidth="1"/>
    <col min="44" max="45" width="10.5" bestFit="1" customWidth="1"/>
    <col min="46" max="46" width="15.33203125" bestFit="1" customWidth="1"/>
    <col min="47" max="47" width="17.5" bestFit="1" customWidth="1"/>
    <col min="48" max="48" width="16.33203125" bestFit="1" customWidth="1"/>
    <col min="49" max="49" width="18.6640625" bestFit="1" customWidth="1"/>
    <col min="50" max="50" width="8.1640625" bestFit="1" customWidth="1"/>
    <col min="51" max="51" width="11.6640625" bestFit="1" customWidth="1"/>
    <col min="52" max="52" width="15.33203125" bestFit="1" customWidth="1"/>
    <col min="53" max="54" width="14" bestFit="1" customWidth="1"/>
    <col min="55" max="55" width="11.6640625" bestFit="1" customWidth="1"/>
    <col min="56" max="56" width="4.5" bestFit="1" customWidth="1"/>
  </cols>
  <sheetData>
    <row r="1" spans="1:5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</row>
    <row r="3" spans="1:56" x14ac:dyDescent="0.2">
      <c r="A3" t="s">
        <v>55</v>
      </c>
      <c r="B3">
        <v>139</v>
      </c>
      <c r="C3">
        <v>41214286</v>
      </c>
      <c r="D3" t="s">
        <v>56</v>
      </c>
      <c r="E3" s="1">
        <v>46136</v>
      </c>
      <c r="F3" t="s">
        <v>57</v>
      </c>
      <c r="G3" s="1">
        <v>46136</v>
      </c>
      <c r="H3">
        <v>9102842</v>
      </c>
      <c r="I3" s="2">
        <f>M3*AG3</f>
        <v>10455.518400000001</v>
      </c>
      <c r="L3" t="s">
        <v>58</v>
      </c>
      <c r="M3">
        <v>2053</v>
      </c>
      <c r="P3">
        <v>419968</v>
      </c>
      <c r="Q3" t="s">
        <v>59</v>
      </c>
      <c r="R3" t="s">
        <v>60</v>
      </c>
      <c r="Y3">
        <v>509805</v>
      </c>
      <c r="AF3" s="1">
        <v>46136</v>
      </c>
      <c r="AG3">
        <v>5.0928000000000004</v>
      </c>
    </row>
    <row r="4" spans="1:56" x14ac:dyDescent="0.2">
      <c r="B4">
        <v>139</v>
      </c>
      <c r="C4">
        <v>419968</v>
      </c>
      <c r="D4" t="s">
        <v>61</v>
      </c>
      <c r="E4" s="1">
        <v>46136</v>
      </c>
      <c r="F4" t="s">
        <v>57</v>
      </c>
      <c r="G4" s="1">
        <v>46136</v>
      </c>
      <c r="H4">
        <v>9102842</v>
      </c>
      <c r="I4" s="2">
        <f>I3</f>
        <v>10455.518400000001</v>
      </c>
      <c r="J4" t="s">
        <v>62</v>
      </c>
      <c r="K4">
        <v>0</v>
      </c>
      <c r="N4" t="s">
        <v>62</v>
      </c>
      <c r="Q4" t="s">
        <v>59</v>
      </c>
      <c r="R4" t="s">
        <v>63</v>
      </c>
      <c r="Y4">
        <v>509805</v>
      </c>
      <c r="AF4" s="1">
        <v>46136</v>
      </c>
      <c r="AG4">
        <v>5.0928000000000004</v>
      </c>
    </row>
    <row r="5" spans="1:56" x14ac:dyDescent="0.2">
      <c r="A5" t="s">
        <v>55</v>
      </c>
      <c r="B5">
        <v>139</v>
      </c>
      <c r="C5">
        <v>41214286</v>
      </c>
      <c r="D5" t="s">
        <v>56</v>
      </c>
      <c r="E5" s="1">
        <v>46136</v>
      </c>
      <c r="F5" t="s">
        <v>57</v>
      </c>
      <c r="G5" s="1">
        <v>46136</v>
      </c>
      <c r="H5">
        <v>9102843</v>
      </c>
      <c r="I5" s="2">
        <f>M5*AG5</f>
        <v>10455.518400000001</v>
      </c>
      <c r="L5" t="s">
        <v>58</v>
      </c>
      <c r="M5">
        <v>2053</v>
      </c>
      <c r="P5">
        <v>419968</v>
      </c>
      <c r="Q5" t="s">
        <v>64</v>
      </c>
      <c r="R5" t="s">
        <v>60</v>
      </c>
      <c r="Y5">
        <v>509806</v>
      </c>
      <c r="AF5" s="1">
        <v>46136</v>
      </c>
      <c r="AG5">
        <v>5.0928000000000004</v>
      </c>
    </row>
    <row r="6" spans="1:56" x14ac:dyDescent="0.2">
      <c r="B6">
        <v>139</v>
      </c>
      <c r="C6">
        <v>419968</v>
      </c>
      <c r="D6" t="s">
        <v>61</v>
      </c>
      <c r="E6" s="1">
        <v>46136</v>
      </c>
      <c r="F6" t="s">
        <v>57</v>
      </c>
      <c r="G6" s="1">
        <v>46136</v>
      </c>
      <c r="H6">
        <v>9102843</v>
      </c>
      <c r="I6" s="2">
        <f>I5</f>
        <v>10455.518400000001</v>
      </c>
      <c r="J6" t="s">
        <v>62</v>
      </c>
      <c r="K6">
        <v>0</v>
      </c>
      <c r="N6" t="s">
        <v>62</v>
      </c>
      <c r="Q6" t="s">
        <v>64</v>
      </c>
      <c r="R6" t="s">
        <v>63</v>
      </c>
      <c r="Y6">
        <v>509806</v>
      </c>
      <c r="AF6" s="1">
        <v>46136</v>
      </c>
      <c r="AG6">
        <v>5.0928000000000004</v>
      </c>
    </row>
    <row r="7" spans="1:56" x14ac:dyDescent="0.2">
      <c r="A7" t="s">
        <v>55</v>
      </c>
      <c r="B7">
        <v>139</v>
      </c>
      <c r="C7">
        <v>41214286</v>
      </c>
      <c r="D7" t="s">
        <v>56</v>
      </c>
      <c r="E7" s="1">
        <v>46136</v>
      </c>
      <c r="F7" t="s">
        <v>57</v>
      </c>
      <c r="G7" s="1">
        <v>46136</v>
      </c>
      <c r="H7">
        <v>9102844</v>
      </c>
      <c r="I7" s="2">
        <f>M7*AG7</f>
        <v>10455.518400000001</v>
      </c>
      <c r="L7" t="s">
        <v>58</v>
      </c>
      <c r="M7">
        <v>2053</v>
      </c>
      <c r="P7">
        <v>419968</v>
      </c>
      <c r="Q7" t="s">
        <v>65</v>
      </c>
      <c r="R7" t="s">
        <v>60</v>
      </c>
      <c r="Y7">
        <v>509807</v>
      </c>
      <c r="AF7" s="1">
        <v>46136</v>
      </c>
      <c r="AG7">
        <v>5.0928000000000004</v>
      </c>
    </row>
    <row r="8" spans="1:56" x14ac:dyDescent="0.2">
      <c r="B8">
        <v>139</v>
      </c>
      <c r="C8">
        <v>419968</v>
      </c>
      <c r="D8" t="s">
        <v>61</v>
      </c>
      <c r="E8" s="1">
        <v>46136</v>
      </c>
      <c r="F8" t="s">
        <v>57</v>
      </c>
      <c r="G8" s="1">
        <v>46136</v>
      </c>
      <c r="H8">
        <v>9102844</v>
      </c>
      <c r="I8" s="2">
        <f>I7</f>
        <v>10455.518400000001</v>
      </c>
      <c r="J8" t="s">
        <v>62</v>
      </c>
      <c r="K8">
        <v>0</v>
      </c>
      <c r="N8" t="s">
        <v>62</v>
      </c>
      <c r="Q8" t="s">
        <v>65</v>
      </c>
      <c r="R8" t="s">
        <v>63</v>
      </c>
      <c r="Y8">
        <v>509807</v>
      </c>
      <c r="AF8" s="1">
        <v>46136</v>
      </c>
      <c r="AG8">
        <v>5.0928000000000004</v>
      </c>
    </row>
    <row r="9" spans="1:56" x14ac:dyDescent="0.2">
      <c r="A9" t="s">
        <v>55</v>
      </c>
      <c r="B9">
        <v>139</v>
      </c>
      <c r="C9">
        <v>41214286</v>
      </c>
      <c r="D9" t="s">
        <v>56</v>
      </c>
      <c r="E9" s="1">
        <v>46136</v>
      </c>
      <c r="F9" t="s">
        <v>57</v>
      </c>
      <c r="G9" s="1">
        <v>46136</v>
      </c>
      <c r="H9">
        <v>9102845</v>
      </c>
      <c r="I9" s="2">
        <f>M9*AG9</f>
        <v>10455.518400000001</v>
      </c>
      <c r="L9" t="s">
        <v>58</v>
      </c>
      <c r="M9">
        <v>2053</v>
      </c>
      <c r="P9">
        <v>419968</v>
      </c>
      <c r="Q9" t="s">
        <v>66</v>
      </c>
      <c r="R9" t="s">
        <v>60</v>
      </c>
      <c r="Y9">
        <v>509808</v>
      </c>
      <c r="AF9" s="1">
        <v>46136</v>
      </c>
      <c r="AG9">
        <v>5.0928000000000004</v>
      </c>
    </row>
    <row r="10" spans="1:56" x14ac:dyDescent="0.2">
      <c r="B10">
        <v>139</v>
      </c>
      <c r="C10">
        <v>419968</v>
      </c>
      <c r="D10" t="s">
        <v>61</v>
      </c>
      <c r="E10" s="1">
        <v>46136</v>
      </c>
      <c r="F10" t="s">
        <v>57</v>
      </c>
      <c r="G10" s="1">
        <v>46136</v>
      </c>
      <c r="H10">
        <v>9102845</v>
      </c>
      <c r="I10" s="2">
        <f>I9</f>
        <v>10455.518400000001</v>
      </c>
      <c r="J10" t="s">
        <v>62</v>
      </c>
      <c r="K10">
        <v>0</v>
      </c>
      <c r="N10" t="s">
        <v>62</v>
      </c>
      <c r="Q10" t="s">
        <v>66</v>
      </c>
      <c r="R10" t="s">
        <v>63</v>
      </c>
      <c r="Y10">
        <v>509808</v>
      </c>
      <c r="AF10" s="1">
        <v>46136</v>
      </c>
      <c r="AG10">
        <v>5.0928000000000004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Sebastian Sabo</cp:lastModifiedBy>
  <dcterms:created xsi:type="dcterms:W3CDTF">2025-01-30T13:52:30Z</dcterms:created>
  <dcterms:modified xsi:type="dcterms:W3CDTF">2026-04-27T11:13:33Z</dcterms:modified>
</cp:coreProperties>
</file>